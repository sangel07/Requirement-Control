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sesorara-my.sharepoint.com/personal/jsoriano_ara_com_mx/Documents/Documentos/Pruebas sistemas ARA/"/>
    </mc:Choice>
  </mc:AlternateContent>
  <xr:revisionPtr revIDLastSave="798" documentId="8_{1976D0F7-7A5B-440F-8BED-71B9BF91D1EF}" xr6:coauthVersionLast="47" xr6:coauthVersionMax="47" xr10:uidLastSave="{778713B4-7D23-4F4C-B715-720BAEFF8340}"/>
  <bookViews>
    <workbookView minimized="1" xWindow="1170" yWindow="1170" windowWidth="15375" windowHeight="7785" xr2:uid="{88F86E48-44B6-4454-BE7B-AD18016EFFC2}"/>
  </bookViews>
  <sheets>
    <sheet name="Control de requerimientos" sheetId="2" r:id="rId1"/>
    <sheet name="Machote Correo VoBo User" sheetId="1" r:id="rId2"/>
    <sheet name="Hoja3" sheetId="3" r:id="rId3"/>
  </sheets>
  <definedNames>
    <definedName name="_xleta.AND" hidden="1" xlm="1">#NAME?</definedName>
    <definedName name="_xleta.IF" hidden="1" xlm="1">#NAME?</definedName>
    <definedName name="_xleta.NOT" hidden="1" xlm="1">#NAME?</definedName>
    <definedName name="_xleta.T" hidden="1" xlm="1">#NAME?</definedName>
    <definedName name="ListaIDs">Tabla2[ID]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N31" i="2" l="1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30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7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4" i="2"/>
  <c r="L75" i="2"/>
  <c r="L76" i="2"/>
  <c r="L77" i="2"/>
  <c r="L78" i="2"/>
  <c r="G3" i="1" a="1"/>
  <c r="G3" i="1" s="1"/>
  <c r="K3" i="1" a="1"/>
  <c r="K3" i="1" s="1"/>
  <c r="J3" i="1" a="1"/>
  <c r="J3" i="1" s="1"/>
  <c r="B27" i="2"/>
  <c r="B26" i="2"/>
  <c r="B25" i="2"/>
  <c r="B28" i="2"/>
  <c r="B24" i="2"/>
  <c r="B7" i="2" l="1"/>
  <c r="B17" i="2" l="1"/>
  <c r="B20" i="2"/>
  <c r="L27" i="2" l="1"/>
  <c r="L28" i="2"/>
  <c r="L57" i="2"/>
  <c r="L71" i="2"/>
  <c r="L72" i="2"/>
  <c r="L73" i="2"/>
  <c r="B10" i="2"/>
  <c r="L10" i="2" s="1"/>
  <c r="L17" i="2"/>
  <c r="L25" i="2"/>
  <c r="L20" i="2"/>
  <c r="B9" i="2"/>
  <c r="L9" i="2" s="1"/>
  <c r="B15" i="2"/>
  <c r="L15" i="2" s="1"/>
  <c r="L7" i="2"/>
  <c r="L24" i="2"/>
  <c r="B19" i="2"/>
  <c r="L19" i="2" s="1"/>
  <c r="L26" i="2"/>
  <c r="B22" i="2"/>
  <c r="L22" i="2" s="1"/>
  <c r="B21" i="2"/>
  <c r="L21" i="2" s="1"/>
  <c r="B23" i="2"/>
  <c r="K3" i="2"/>
  <c r="J3" i="2"/>
  <c r="I3" i="2"/>
  <c r="H3" i="2"/>
  <c r="B16" i="2"/>
  <c r="L16" i="2" s="1"/>
  <c r="B11" i="2"/>
  <c r="B12" i="2"/>
  <c r="L12" i="2" s="1"/>
  <c r="B13" i="2"/>
  <c r="L13" i="2" s="1"/>
  <c r="B14" i="2"/>
  <c r="L14" i="2" s="1"/>
  <c r="B18" i="2"/>
  <c r="L18" i="2" s="1"/>
  <c r="L23" i="2"/>
  <c r="L8" i="2"/>
  <c r="L79" i="2"/>
  <c r="L80" i="2"/>
  <c r="L81" i="2"/>
  <c r="L82" i="2"/>
  <c r="L83" i="2"/>
  <c r="L11" i="2" l="1"/>
  <c r="E3" i="1" a="1"/>
  <c r="E3" i="1" s="1"/>
  <c r="L3" i="2"/>
  <c r="H3" i="1"/>
  <c r="C4" i="1"/>
  <c r="C3" i="1"/>
  <c r="B3" i="1" l="1"/>
  <c r="B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<sst xmlns="http://schemas.openxmlformats.org/spreadsheetml/2006/main" count="154" uniqueCount="76">
  <si>
    <t>DASHBOARD</t>
  </si>
  <si>
    <t>Liberado a QA</t>
  </si>
  <si>
    <t>VoBo QA</t>
  </si>
  <si>
    <t>Vobo Usuario</t>
  </si>
  <si>
    <t>Liberados</t>
  </si>
  <si>
    <t>Porcentaje Liberado</t>
  </si>
  <si>
    <t>CONTROL DE REQUERIMIENTOS</t>
  </si>
  <si>
    <t>ID</t>
  </si>
  <si>
    <t>Descripción</t>
  </si>
  <si>
    <t>Sistema</t>
  </si>
  <si>
    <t>Dev</t>
  </si>
  <si>
    <t>Tester</t>
  </si>
  <si>
    <t>Fecha Vobo QA</t>
  </si>
  <si>
    <t>VoBo Usuario</t>
  </si>
  <si>
    <t>Fecha Vobo Usuario</t>
  </si>
  <si>
    <t>¿Liberado a producción?</t>
  </si>
  <si>
    <t>Estatus</t>
  </si>
  <si>
    <t>Fecha liberación</t>
  </si>
  <si>
    <t>Auditoría</t>
  </si>
  <si>
    <t>Comentarios</t>
  </si>
  <si>
    <t>CRM ARA</t>
  </si>
  <si>
    <t>PEDRO</t>
  </si>
  <si>
    <t>ANGEL SORIANO</t>
  </si>
  <si>
    <t>VoBo usuario autorizado</t>
  </si>
  <si>
    <t>Modulo de Auditoria</t>
  </si>
  <si>
    <t>ENKONTROL</t>
  </si>
  <si>
    <t>BIBIANA</t>
  </si>
  <si>
    <t>BRANDOM CAUDILLO</t>
  </si>
  <si>
    <t>ARANET V3</t>
  </si>
  <si>
    <t>AGUSTIN</t>
  </si>
  <si>
    <t>VoBo usuario autorizado, OK a código Prod</t>
  </si>
  <si>
    <t>MOI</t>
  </si>
  <si>
    <t>MIGUEL</t>
  </si>
  <si>
    <t>ANTONIO</t>
  </si>
  <si>
    <t>ARA KIOSKO</t>
  </si>
  <si>
    <t>OMAR</t>
  </si>
  <si>
    <t>ARATECH</t>
  </si>
  <si>
    <t>JUSTINO</t>
  </si>
  <si>
    <t>CLM</t>
  </si>
  <si>
    <r>
      <t xml:space="preserve">Estimados
</t>
    </r>
    <r>
      <rPr>
        <b/>
        <i/>
        <sz val="20"/>
        <color theme="0"/>
        <rFont val="Aptos Narrow"/>
        <family val="2"/>
        <scheme val="minor"/>
      </rPr>
      <t>Concluimos las pruebas de QA</t>
    </r>
    <r>
      <rPr>
        <b/>
        <sz val="20"/>
        <color theme="0"/>
        <rFont val="Aptos Narrow"/>
        <family val="2"/>
        <scheme val="minor"/>
      </rPr>
      <t xml:space="preserve">
•Solicitud: AJUSTE EN % DE EVELUACIÓN
•Release: 694
•Ambiente: https://aradesarrollo.ara.com.mx:85/
•Requerimiento: https://aranetv3.aranet.com.mx/Requerimiento/ImprimirFormato?Solicitud_Id=694&amp;VersionId=1
Resultados:
Anexo evidencia de ejecución de pruebas
Riesgos/Observaciones:
Pruebas realizadas y completadas correctamente
No se identificaron bloqueos ni impedimentos (“stoppers”) en los flujos de prueba correspondientes.
Decisión de QA:
</t>
    </r>
    <r>
      <rPr>
        <b/>
        <i/>
        <u/>
        <sz val="20"/>
        <color rgb="FFFF0000"/>
        <rFont val="Aptos Narrow"/>
        <family val="2"/>
        <scheme val="minor"/>
      </rPr>
      <t>VoBo OTORGADO para PRUEBAS DE USUARIO en CRM QA</t>
    </r>
    <r>
      <rPr>
        <b/>
        <sz val="20"/>
        <color theme="0"/>
        <rFont val="Aptos Narrow"/>
        <family val="2"/>
        <scheme val="minor"/>
      </rPr>
      <t xml:space="preserve">
Quedo atento a cualquier comentario.</t>
    </r>
  </si>
  <si>
    <t>Datos para correos</t>
  </si>
  <si>
    <t>Envio</t>
  </si>
  <si>
    <t>Mensaje</t>
  </si>
  <si>
    <t>Encabezado</t>
  </si>
  <si>
    <t>Solicitud</t>
  </si>
  <si>
    <t>Release</t>
  </si>
  <si>
    <t>Ambiente</t>
  </si>
  <si>
    <t>Requerimiento</t>
  </si>
  <si>
    <t>Riesgos</t>
  </si>
  <si>
    <t>Destinatario</t>
  </si>
  <si>
    <t>CC</t>
  </si>
  <si>
    <t>Pruebas de Usuario</t>
  </si>
  <si>
    <t>No se identificaron bloqueos ni impedimentos (“stoppers”) en los flujos de prueba correspondientes.</t>
  </si>
  <si>
    <t>Liberación de QA</t>
  </si>
  <si>
    <t>TESTER</t>
  </si>
  <si>
    <t>Link</t>
  </si>
  <si>
    <t>jmeza@ara.com.mx</t>
  </si>
  <si>
    <t>bcaudillo@ara.com.mx, ishernandez@ara.com.mx</t>
  </si>
  <si>
    <t>https://aradesarrollo.ara.com.mx:85/Home/Index</t>
  </si>
  <si>
    <t>SI</t>
  </si>
  <si>
    <t>rguzmang@ara.com.mx</t>
  </si>
  <si>
    <t xml:space="preserve">https://aranetqa.ara.com.mx/Seguridad/Login?ReturnUrl=%2fHome%2fIndex </t>
  </si>
  <si>
    <t>NO</t>
  </si>
  <si>
    <t xml:space="preserve">bjimenez@enkontrol.com </t>
  </si>
  <si>
    <t>ENKONTROL -ekcapacita.aracorp.com.mx:5055</t>
  </si>
  <si>
    <t>NA</t>
  </si>
  <si>
    <t>ARAFE</t>
  </si>
  <si>
    <t xml:space="preserve">visoria@ara.com.mx </t>
  </si>
  <si>
    <t xml:space="preserve">https://arafeqa.aranet.com.mx/ </t>
  </si>
  <si>
    <t xml:space="preserve">https://crmqa.ara.com.mx/ </t>
  </si>
  <si>
    <t xml:space="preserve">rguzmang@ara.com.mx </t>
  </si>
  <si>
    <t>https://aradesarrollo.ara.com.mx:82/</t>
  </si>
  <si>
    <t>WORKDAY</t>
  </si>
  <si>
    <t xml:space="preserve">raflores@ara.com.mx </t>
  </si>
  <si>
    <t xml:space="preserve">https://digital.workday.com/en-us/login.html?fromURI=%2Fhome%2Fworkdayciam_wrchomepage_1%2F0oa5ybz1nncEtyGTi4x7%2Faln5yc45xtHLyTRgR4x7 </t>
  </si>
  <si>
    <t>https://aradesarrollo.ara.com.mx:1005/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</si>
</sst>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i/>
      <sz val="20"/>
      <color theme="0"/>
      <name val="Aptos Narrow"/>
      <family val="2"/>
      <scheme val="minor"/>
    </font>
    <font>
      <b/>
      <i/>
      <u/>
      <sz val="20"/>
      <color rgb="FFFF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1" xfId="0" applyBorder="1"/>
    <xf numFmtId="0" fontId="2" fillId="3" borderId="0" xfId="0" applyFont="1" applyFill="1"/>
    <xf numFmtId="0" fontId="0" fillId="0" borderId="1" xfId="0" applyBorder="1" applyAlignment="1">
      <alignment horizontal="left"/>
    </xf>
    <xf numFmtId="0" fontId="7" fillId="0" borderId="1" xfId="0" applyFont="1" applyBorder="1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1" xfId="0" applyNumberFormat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vertical="center"/>
    </xf>
    <xf numFmtId="0" fontId="9" fillId="6" borderId="18" xfId="0" applyFont="1" applyFill="1" applyBorder="1" applyAlignment="1">
      <alignment horizontal="center" vertical="center" wrapText="1"/>
    </xf>
    <xf numFmtId="0" fontId="0" fillId="7" borderId="19" xfId="0" applyFill="1" applyBorder="1" applyAlignment="1">
      <alignment wrapText="1"/>
    </xf>
    <xf numFmtId="0" fontId="0" fillId="7" borderId="1" xfId="0" applyFill="1" applyBorder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10" fillId="7" borderId="0" xfId="0" applyFont="1" applyFill="1" applyAlignment="1">
      <alignment horizontal="center" wrapText="1"/>
    </xf>
    <xf numFmtId="0" fontId="1" fillId="7" borderId="0" xfId="0" applyFont="1" applyFill="1" applyAlignment="1">
      <alignment horizontal="center" vertical="center"/>
    </xf>
    <xf numFmtId="0" fontId="9" fillId="6" borderId="20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0" fillId="0" borderId="12" xfId="0" applyNumberForma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0" fillId="7" borderId="0" xfId="0" applyFill="1" applyAlignment="1">
      <alignment vertical="top"/>
    </xf>
    <xf numFmtId="0" fontId="3" fillId="0" borderId="0" xfId="1"/>
    <xf numFmtId="0" fontId="0" fillId="8" borderId="0" xfId="0" applyFill="1"/>
    <xf numFmtId="0" fontId="0" fillId="0" borderId="0" xfId="0" applyAlignment="1">
      <alignment wrapText="1"/>
    </xf>
    <xf numFmtId="0" fontId="4" fillId="2" borderId="0" xfId="0" applyFont="1" applyFill="1" applyAlignment="1">
      <alignment horizontal="center" wrapText="1"/>
    </xf>
    <xf numFmtId="0" fontId="0" fillId="7" borderId="23" xfId="0" applyFill="1" applyBorder="1" applyAlignment="1">
      <alignment vertical="center" wrapText="1"/>
    </xf>
    <xf numFmtId="0" fontId="3" fillId="7" borderId="10" xfId="1" applyFill="1" applyBorder="1" applyAlignment="1">
      <alignment vertical="center" wrapText="1"/>
    </xf>
    <xf numFmtId="0" fontId="3" fillId="7" borderId="24" xfId="1" applyNumberFormat="1" applyFill="1" applyBorder="1" applyAlignment="1">
      <alignment vertical="center" wrapText="1"/>
    </xf>
    <xf numFmtId="0" fontId="0" fillId="7" borderId="24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9" borderId="24" xfId="0" applyFill="1" applyBorder="1" applyAlignment="1" applyProtection="1">
      <alignment horizontal="center" vertical="center"/>
      <protection locked="0"/>
    </xf>
    <xf numFmtId="0" fontId="0" fillId="7" borderId="25" xfId="0" applyFill="1" applyBorder="1" applyAlignment="1" applyProtection="1">
      <alignment vertical="center" wrapText="1"/>
      <protection locked="0"/>
    </xf>
    <xf numFmtId="14" fontId="0" fillId="0" borderId="12" xfId="0" applyNumberForma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 wrapText="1"/>
    </xf>
    <xf numFmtId="0" fontId="10" fillId="5" borderId="14" xfId="0" applyFont="1" applyFill="1" applyBorder="1" applyAlignment="1">
      <alignment horizontal="center" wrapText="1"/>
    </xf>
    <xf numFmtId="0" fontId="10" fillId="5" borderId="15" xfId="0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3"/>
        </patternFill>
      </fill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  <protection locked="0" hidden="0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1"/>
        </ext>
      </extLst>
    </dxf>
    <dxf>
      <font>
        <b val="0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extLst>
        <ext xmlns:xfpb="http://schemas.microsoft.com/office/spreadsheetml/2022/featurepropertybag" uri="{0417FA29-78FA-4A13-93AC-8FF0FAFDF519}">
          <xfpb:DXFComplement i="1"/>
        </ext>
      </extLst>
    </dxf>
    <dxf>
      <font>
        <b val="0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7D081"/>
        </patternFill>
      </fill>
    </dxf>
  </dxfs>
  <tableStyles count="0" defaultTableStyle="TableStyleMedium2" defaultPivotStyle="PivotStyleLight16"/>
  <colors>
    <mruColors>
      <color rgb="FFF7D0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3</xdr:row>
          <xdr:rowOff>2047875</xdr:rowOff>
        </xdr:from>
        <xdr:to>
          <xdr:col>5</xdr:col>
          <xdr:colOff>790575</xdr:colOff>
          <xdr:row>3</xdr:row>
          <xdr:rowOff>2647950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Generar correo VoBo Usuario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1047750</xdr:colOff>
          <xdr:row>3</xdr:row>
          <xdr:rowOff>1238250</xdr:rowOff>
        </xdr:from>
        <xdr:to>
          <xdr:col>5</xdr:col>
          <xdr:colOff>809625</xdr:colOff>
          <xdr:row>3</xdr:row>
          <xdr:rowOff>1838325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Generar correo VoBo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1076325</xdr:colOff>
          <xdr:row>3</xdr:row>
          <xdr:rowOff>2867025</xdr:rowOff>
        </xdr:from>
        <xdr:to>
          <xdr:col>5</xdr:col>
          <xdr:colOff>771525</xdr:colOff>
          <xdr:row>3</xdr:row>
          <xdr:rowOff>3533775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Generar ambos correos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0D45AC-CA0B-4B93-B058-A435FF18CDAE}" name="Tabla2" displayName="Tabla2" ref="A6:O83" totalsRowShown="0" headerRowDxfId="43">
  <autoFilter ref="A6:O83" xr:uid="{650D45AC-CA0B-4B93-B058-A435FF18CDAE}">
    <filterColumn colId="11">
      <filters blank="1">
        <filter val="INCOMPLETO"/>
      </filters>
    </filterColumn>
  </autoFilter>
  <sortState xmlns:xlrd2="http://schemas.microsoft.com/office/spreadsheetml/2017/richdata2" ref="A7:M83">
    <sortCondition ref="A6:A83"/>
  </sortState>
  <tableColumns count="15">
    <tableColumn id="1" xr3:uid="{21AC02A1-9876-4050-994B-BFBB7849AC30}" name="ID" dataDxfId="42"/>
    <tableColumn id="8" xr3:uid="{BF2BC142-02BA-4828-895F-C3211984F92E}" name="Descripción" dataDxfId="41"/>
    <tableColumn id="11" xr3:uid="{11E62A67-FC3E-45F0-91BA-74E32DD6912D}" name="Sistema" dataDxfId="40"/>
    <tableColumn id="13" xr3:uid="{435DB78A-63F7-44F4-96F5-303CAE214CDF}" name="Dev" dataDxfId="39"/>
    <tableColumn id="9" xr3:uid="{C0567D35-1F25-4168-BBF3-0F5983B970E6}" name="Tester" dataDxfId="38"/>
    <tableColumn id="2" xr3:uid="{B9E2D298-CD0A-4846-99F9-EB338B7A0728}" name="Liberado a QA" dataDxfId="37"/>
    <tableColumn id="3" xr3:uid="{52F3AEF6-B2E0-436B-86DD-1F96E31DF0E1}" name="VoBo QA" dataDxfId="36"/>
    <tableColumn id="4" xr3:uid="{037036ED-A806-4D65-8E8D-4CB23A628104}" name="Fecha Vobo QA" dataDxfId="35"/>
    <tableColumn id="5" xr3:uid="{B95CE273-337E-4B12-B0FE-9D06A29CADFB}" name="VoBo Usuario" dataDxfId="34"/>
    <tableColumn id="6" xr3:uid="{AE292397-A089-4D32-910C-7480A811BB54}" name="Fecha Vobo Usuario" dataDxfId="33"/>
    <tableColumn id="7" xr3:uid="{EDAE0F82-5997-4BE0-B9DB-A7436224BDB5}" name="¿Liberado a producción?" dataDxfId="32"/>
    <tableColumn id="10" xr3:uid="{EE6AB61E-081E-421B-B03C-DA4C12B87E76}" name="Estatus" dataDxfId="31">
      <calculatedColumnFormula>IF(OR(ISBLANK(Tabla2[[#This Row],[Descripción]]),ISBLANK(Tabla2[[#This Row],[ID]])),"",IF(AND(Tabla2[[#This Row],[Liberado a QA]],Tabla2[[#This Row],[VoBo QA]],Tabla2[[#This Row],[VoBo Usuario]],Tabla2[[#This Row],[¿Liberado a producción?]]),"COMPLETO","INCOMPLETO"))</calculatedColumnFormula>
    </tableColumn>
    <tableColumn id="12" xr3:uid="{E73FE870-10AD-42C3-90FD-C59D5B0D266A}" name="Fecha liberación" dataDxfId="30"/>
    <tableColumn id="15" xr3:uid="{D1C1ACC0-757F-40EC-989B-C856785A4A43}" name="Auditoría" dataDxfId="29"/>
    <tableColumn id="14" xr3:uid="{6A715D03-04C0-4441-A4FC-F85961D50E29}" name="Comentarios" dataDxfId="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C071793-C79A-46BB-9FDF-6DD25316E447}" name="Tabla47" displayName="Tabla47" ref="H2:L3" totalsRowShown="0" headerRowDxfId="27" dataDxfId="26" headerRowBorderDxfId="24" tableBorderDxfId="25" totalsRowBorderDxfId="23">
  <autoFilter ref="H2:L3" xr:uid="{0C071793-C79A-46BB-9FDF-6DD25316E447}"/>
  <tableColumns count="5">
    <tableColumn id="1" xr3:uid="{A8709089-49C5-4379-942D-F0280760D253}" name="Liberado a QA" dataDxfId="22">
      <calculatedColumnFormula>COUNTIF(Tabla2[Liberado a QA],"VERDADERO")</calculatedColumnFormula>
    </tableColumn>
    <tableColumn id="2" xr3:uid="{C78E78EE-C23B-464B-9990-D14A49493D4E}" name="VoBo QA" dataDxfId="21">
      <calculatedColumnFormula>COUNTIF(Tabla2[VoBo QA],"VERDADERO")</calculatedColumnFormula>
    </tableColumn>
    <tableColumn id="3" xr3:uid="{1A7984F8-DA9D-4186-808B-CFA0E4051606}" name="Vobo Usuario" dataDxfId="20">
      <calculatedColumnFormula>COUNTIF(Tabla2[VoBo Usuario],"VERDADERO")</calculatedColumnFormula>
    </tableColumn>
    <tableColumn id="4" xr3:uid="{2BD628BD-05B6-47E9-A9BB-4C3172E08CE2}" name="Liberados" dataDxfId="19">
      <calculatedColumnFormula>COUNTIF(Tabla2[¿Liberado a producción?],"VERDADERO")</calculatedColumnFormula>
    </tableColumn>
    <tableColumn id="6" xr3:uid="{76E78B54-CFF1-4D12-8663-1B215A9FA053}" name="Porcentaje Liberado" dataDxfId="18" dataCellStyle="Porcentaje">
      <calculatedColumnFormula>Tabla47[[#This Row],[Liberados]]/Tabla47[[#This Row],[Liberado a QA]]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9B3228-FA4B-4D30-A011-BD8CC2D8FB89}" name="Tabla4" displayName="Tabla4" ref="E2:K3" totalsRowShown="0" headerRowDxfId="17" dataDxfId="16">
  <autoFilter ref="E2:K3" xr:uid="{989B3228-FA4B-4D30-A011-BD8CC2D8FB89}"/>
  <tableColumns count="7">
    <tableColumn id="1" xr3:uid="{B610EE74-A5AD-4BCC-B184-BD183D041FA3}" name="Solicitud" dataDxfId="15">
      <calculatedColumnFormula array="1">_xlfn._xlws.FILTER(Tabla2[Descripción], Tabla2[ID] = Tabla4[Release])</calculatedColumnFormula>
    </tableColumn>
    <tableColumn id="2" xr3:uid="{8954072C-21FF-4161-92E0-B534E0CDA764}" name="Release" dataDxfId="14"/>
    <tableColumn id="3" xr3:uid="{18C4973F-5CEF-4E74-9996-E3EA3258173D}" name="Ambiente" dataDxfId="13" dataCellStyle="Hipervínculo">
      <calculatedColumnFormula array="1">_xlfn._xlws.FILTER(Tabla3[Link],Tabla3[Sistema]=_xlfn.XLOOKUP(Tabla4[[#This Row],[Release]],Tabla2[ID],Tabla2[Sistema]),"Sin resultados")</calculatedColumnFormula>
    </tableColumn>
    <tableColumn id="4" xr3:uid="{99649EC9-0669-4119-BD25-01B59B3C85B2}" name="Requerimiento" dataDxfId="12" dataCellStyle="Hipervínculo">
      <calculatedColumnFormula>CONCATENATE("https://aranetv3.aranet.com.mx/Requerimiento/ImprimirFormato?Solicitud_Id=")&amp;(F3)&amp;("&amp;VersionId=1")</calculatedColumnFormula>
    </tableColumn>
    <tableColumn id="5" xr3:uid="{6D37CE4D-6862-4116-8C6D-FFBDF6C7281C}" name="Riesgos" dataDxfId="11"/>
    <tableColumn id="6" xr3:uid="{52D9D5D0-8130-43B3-A2A3-B48DEFF36888}" name="Destinatario" dataDxfId="10">
      <calculatedColumnFormula array="1">_xlfn._xlws.FILTER(Tabla3[Destinatario],Tabla3[Sistema]=_xlfn.XLOOKUP(Tabla4[[#This Row],[Release]],Tabla2[ID],Tabla2[Sistema]),"Sin resultados")</calculatedColumnFormula>
    </tableColumn>
    <tableColumn id="7" xr3:uid="{1A2E9235-C24D-46FF-9C00-5A6FAAD58F86}" name="CC" dataDxfId="9">
      <calculatedColumnFormula array="1">_xlfn._xlws.FILTER(Tabla3[CC],Tabla3[Sistema]=_xlfn.XLOOKUP(Tabla4[[#This Row],[Release]],Tabla2[ID],Tabla2[Sistema]),"Sin resultados")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77885DA-078F-488B-96A4-C6E106AEF271}" name="Tabla7" displayName="Tabla7" ref="A2:C4" totalsRowShown="0" headerRowDxfId="8" dataDxfId="7" headerRowBorderDxfId="5" tableBorderDxfId="6" totalsRowBorderDxfId="4">
  <autoFilter ref="A2:C4" xr:uid="{877885DA-078F-488B-96A4-C6E106AEF271}"/>
  <tableColumns count="3">
    <tableColumn id="1" xr3:uid="{242F24E3-4B62-42AF-9CA7-E8BEA521149C}" name="Envio" dataDxfId="3"/>
    <tableColumn id="2" xr3:uid="{5E530040-906F-4AC9-B1B5-B84CE8F57B31}" name="Mensaje" dataDxfId="2">
      <calculatedColumnFormula>CONCATENATE(CHAR(34),"Estimados",CHAR(34),CHAR(10),CHAR(34),"Concluimos las pruebas de QA",CHAR(34),CHAR(10),CHAR(10),"•Solicitud: ",E2,CHAR(10),"•Release: ",F2,CHAR(10),"•Ambiente: ",G2,CHAR(10),"•Requerimiento: ",H2,CHAR(10),CHAR(10),"Resultados",CHAR(10),"Anexo evidencia de ejecución de pruebas",CHAR(10),CHAR(10),CHAR(10),CHAR(10),"Riesgos/Observaciones",CHAR(10),"Pruebas realizadas y completadas correctamente",CHAR(10),I2,CHAR(10),CHAR(10),CHAR(10),CHAR(10),"Decisión de QA",CHAR(10),"VoBo OTORGADO para PRUEBAS DE USUARIO en CRM QA",CHAR(10),CHAR(10),"Quedo atento a cualquier comentario.")</calculatedColumnFormula>
    </tableColumn>
    <tableColumn id="3" xr3:uid="{6A216AF7-5F19-47DF-82C7-BFF2FAA23DAD}" name="Encabezado" dataDxfId="1">
      <calculatedColumnFormula>CONCATENATE("VoBo Usuario — Solicitud pruebas de Usuario del Requerimiento ",F3)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3F4BCF-C685-41E1-B467-AEBA4B8036B5}" name="Tabla3" displayName="Tabla3" ref="A1:F9" totalsRowShown="0" headerRowDxfId="0">
  <autoFilter ref="A1:F9" xr:uid="{4C3F4BCF-C685-41E1-B467-AEBA4B8036B5}"/>
  <tableColumns count="6">
    <tableColumn id="1" xr3:uid="{6E8DC0D2-7934-49F5-B194-1C2062D88944}" name="TESTER"/>
    <tableColumn id="2" xr3:uid="{BEA9CFCD-C28A-457F-BA2D-4B02B3C5290C}" name="Sistema"/>
    <tableColumn id="5" xr3:uid="{0005F0E8-E850-4101-AE3B-BBBAB3002875}" name="Destinatario"/>
    <tableColumn id="4" xr3:uid="{FCA8514A-507C-4753-A740-6D976D86C67F}" name="CC"/>
    <tableColumn id="3" xr3:uid="{E51024DF-535C-46FC-A53B-0D70CD53F363}" name="Link"/>
    <tableColumn id="6" xr3:uid="{EAE27338-2C9B-45AD-A00E-9FD70ED117CB}" name="Auditorí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jmeza@ara.com.mx" TargetMode="External"/><Relationship Id="rId13" Type="http://schemas.openxmlformats.org/officeDocument/2006/relationships/hyperlink" Target="mailto:rguzmang@ara.com.mx%20" TargetMode="External"/><Relationship Id="rId18" Type="http://schemas.openxmlformats.org/officeDocument/2006/relationships/table" Target="../tables/table5.xml"/><Relationship Id="rId3" Type="http://schemas.openxmlformats.org/officeDocument/2006/relationships/hyperlink" Target="https://digital.workday.com/en-us/login.html?fromURI=%2Fhome%2Fworkdayciam_wrchomepage_1%2F0oa5ybz1nncEtyGTi4x7%2Faln5yc45xtHLyTRgR4x7" TargetMode="External"/><Relationship Id="rId7" Type="http://schemas.openxmlformats.org/officeDocument/2006/relationships/hyperlink" Target="https://crmqa.ara.com.mx/" TargetMode="External"/><Relationship Id="rId12" Type="http://schemas.openxmlformats.org/officeDocument/2006/relationships/hyperlink" Target="mailto:jmeza@ara.com.mx" TargetMode="External"/><Relationship Id="rId17" Type="http://schemas.openxmlformats.org/officeDocument/2006/relationships/hyperlink" Target="mailto:raflores@ara.com.mx%20" TargetMode="External"/><Relationship Id="rId2" Type="http://schemas.openxmlformats.org/officeDocument/2006/relationships/hyperlink" Target="https://aradesarrollo.ara.com.mx:82/" TargetMode="External"/><Relationship Id="rId16" Type="http://schemas.openxmlformats.org/officeDocument/2006/relationships/hyperlink" Target="mailto:bjimenez@enkontrol.com%20" TargetMode="External"/><Relationship Id="rId1" Type="http://schemas.openxmlformats.org/officeDocument/2006/relationships/hyperlink" Target="https://aradesarrollo.ara.com.mx:1005/" TargetMode="External"/><Relationship Id="rId6" Type="http://schemas.openxmlformats.org/officeDocument/2006/relationships/hyperlink" Target="https://aranetqa.ara.com.mx/Seguridad/Login?ReturnUrl=%2fHome%2fIndex" TargetMode="External"/><Relationship Id="rId11" Type="http://schemas.openxmlformats.org/officeDocument/2006/relationships/hyperlink" Target="mailto:jmeza@ara.com.mx" TargetMode="External"/><Relationship Id="rId5" Type="http://schemas.openxmlformats.org/officeDocument/2006/relationships/hyperlink" Target="https://aradesarrollo.ara.com.mx:85/Home/Index" TargetMode="External"/><Relationship Id="rId15" Type="http://schemas.openxmlformats.org/officeDocument/2006/relationships/hyperlink" Target="mailto:visoria@ara.com.mx%20" TargetMode="External"/><Relationship Id="rId10" Type="http://schemas.openxmlformats.org/officeDocument/2006/relationships/hyperlink" Target="mailto:bcaudillo@ara.com.mx,%20" TargetMode="External"/><Relationship Id="rId4" Type="http://schemas.openxmlformats.org/officeDocument/2006/relationships/hyperlink" Target="https://arafeqa.aranet.com.mx/" TargetMode="External"/><Relationship Id="rId9" Type="http://schemas.openxmlformats.org/officeDocument/2006/relationships/hyperlink" Target="mailto:bcaudillo@ara.com.mx,%20" TargetMode="External"/><Relationship Id="rId14" Type="http://schemas.openxmlformats.org/officeDocument/2006/relationships/hyperlink" Target="mailto:rguzmang@ara.com.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59C2A-51B1-42D6-A5D4-C2C6552C6F29}">
  <sheetPr codeName="Hoja1"/>
  <dimension ref="A1:O83"/>
  <sheetViews>
    <sheetView tabSelected="1" topLeftCell="B1" zoomScale="85" zoomScaleNormal="85" workbookViewId="0">
      <selection activeCell="G29" sqref="G29"/>
    </sheetView>
  </sheetViews>
  <sheetFormatPr defaultColWidth="11.42578125" defaultRowHeight="15"/>
  <cols>
    <col min="1" max="1" width="8.7109375" bestFit="1" customWidth="1"/>
    <col min="2" max="2" width="84.140625" bestFit="1" customWidth="1"/>
    <col min="3" max="3" width="14.42578125" style="1" bestFit="1" customWidth="1"/>
    <col min="4" max="4" width="10.28515625" style="1" bestFit="1" customWidth="1"/>
    <col min="5" max="5" width="19.28515625" style="1" bestFit="1" customWidth="1"/>
    <col min="6" max="6" width="20" style="1" bestFit="1" customWidth="1"/>
    <col min="7" max="7" width="15" style="1" bestFit="1" customWidth="1"/>
    <col min="8" max="8" width="21.140625" style="1" bestFit="1" customWidth="1"/>
    <col min="9" max="9" width="19.5703125" style="1" bestFit="1" customWidth="1"/>
    <col min="10" max="10" width="26" style="1" bestFit="1" customWidth="1"/>
    <col min="11" max="11" width="30.42578125" style="1" bestFit="1" customWidth="1"/>
    <col min="12" max="12" width="23.7109375" style="1" bestFit="1" customWidth="1"/>
    <col min="13" max="13" width="23" style="1" bestFit="1" customWidth="1"/>
    <col min="14" max="14" width="15.42578125" style="3" bestFit="1" customWidth="1"/>
    <col min="15" max="15" width="39.7109375" style="48" bestFit="1" customWidth="1"/>
  </cols>
  <sheetData>
    <row r="1" spans="1:15" ht="31.5">
      <c r="H1" s="58" t="s">
        <v>0</v>
      </c>
      <c r="I1" s="59"/>
      <c r="J1" s="59"/>
      <c r="K1" s="59"/>
      <c r="L1" s="59"/>
      <c r="M1" s="10"/>
      <c r="N1" s="10"/>
    </row>
    <row r="2" spans="1:15">
      <c r="H2" s="16" t="s">
        <v>1</v>
      </c>
      <c r="I2" s="19" t="s">
        <v>2</v>
      </c>
      <c r="J2" s="19" t="s">
        <v>3</v>
      </c>
      <c r="K2" s="19" t="s">
        <v>4</v>
      </c>
      <c r="L2" s="21" t="s">
        <v>5</v>
      </c>
      <c r="M2" s="2"/>
      <c r="N2" s="2"/>
    </row>
    <row r="3" spans="1:15">
      <c r="H3" s="17">
        <f>COUNTIF(Tabla2[Liberado a QA],"VERDADERO")</f>
        <v>22</v>
      </c>
      <c r="I3" s="20">
        <f>COUNTIF(Tabla2[VoBo QA],"VERDADERO")</f>
        <v>21</v>
      </c>
      <c r="J3" s="20">
        <f>COUNTIF(Tabla2[VoBo Usuario],"VERDADERO")</f>
        <v>18</v>
      </c>
      <c r="K3" s="20">
        <f>COUNTIF(Tabla2[¿Liberado a producción?],"VERDADERO")</f>
        <v>6</v>
      </c>
      <c r="L3" s="22">
        <f>Tabla47[[#This Row],[Liberados]]/Tabla47[[#This Row],[Liberado a QA]]</f>
        <v>0.27272727272727271</v>
      </c>
      <c r="M3" s="23"/>
      <c r="N3" s="23"/>
    </row>
    <row r="4" spans="1:15" ht="15.75" thickBot="1">
      <c r="H4" s="3"/>
      <c r="I4" s="3"/>
      <c r="J4" s="3"/>
      <c r="K4" s="3"/>
      <c r="L4" s="23"/>
      <c r="M4" s="23"/>
      <c r="N4" s="23"/>
    </row>
    <row r="5" spans="1:15" ht="32.25" thickBot="1">
      <c r="A5" s="60" t="s">
        <v>6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2"/>
    </row>
    <row r="6" spans="1:15" s="5" customFormat="1" ht="15.75">
      <c r="A6" s="4" t="s">
        <v>7</v>
      </c>
      <c r="B6" s="4" t="s">
        <v>8</v>
      </c>
      <c r="C6" s="14" t="s">
        <v>9</v>
      </c>
      <c r="D6" s="14" t="s">
        <v>10</v>
      </c>
      <c r="E6" s="14" t="s">
        <v>11</v>
      </c>
      <c r="F6" s="14" t="s">
        <v>1</v>
      </c>
      <c r="G6" s="14" t="s">
        <v>2</v>
      </c>
      <c r="H6" s="14" t="s">
        <v>12</v>
      </c>
      <c r="I6" s="14" t="s">
        <v>13</v>
      </c>
      <c r="J6" s="14" t="s">
        <v>14</v>
      </c>
      <c r="K6" s="14" t="s">
        <v>15</v>
      </c>
      <c r="L6" s="14" t="s">
        <v>16</v>
      </c>
      <c r="M6" s="42" t="s">
        <v>17</v>
      </c>
      <c r="N6" s="14" t="s">
        <v>18</v>
      </c>
      <c r="O6" s="49" t="s">
        <v>19</v>
      </c>
    </row>
    <row r="7" spans="1:15">
      <c r="A7" s="9">
        <v>558</v>
      </c>
      <c r="B7" s="6" t="str">
        <f>PROPER("REINGENIERIA DE COBRANZA Y FIRMA DIGITAL DE CONTRATOS")</f>
        <v>Reingenieria De Cobranza Y Firma Digital De Contratos</v>
      </c>
      <c r="C7" s="12" t="s">
        <v>20</v>
      </c>
      <c r="D7" s="12" t="s">
        <v>21</v>
      </c>
      <c r="E7" s="12" t="s">
        <v>22</v>
      </c>
      <c r="F7" s="15" t="b">
        <v>1</v>
      </c>
      <c r="G7" s="15" t="b">
        <v>1</v>
      </c>
      <c r="H7" s="18">
        <v>46077</v>
      </c>
      <c r="I7" s="15" t="b">
        <v>1</v>
      </c>
      <c r="J7" s="43">
        <v>46078</v>
      </c>
      <c r="K7" s="15" t="b">
        <v>0</v>
      </c>
      <c r="L7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7" s="43">
        <v>46084</v>
      </c>
      <c r="N7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7" s="11" t="s">
        <v>23</v>
      </c>
    </row>
    <row r="8" spans="1:15">
      <c r="A8" s="9">
        <v>609</v>
      </c>
      <c r="B8" s="6" t="s">
        <v>24</v>
      </c>
      <c r="C8" s="12" t="s">
        <v>25</v>
      </c>
      <c r="D8" s="12" t="s">
        <v>26</v>
      </c>
      <c r="E8" s="12" t="s">
        <v>27</v>
      </c>
      <c r="F8" s="15" t="b">
        <v>1</v>
      </c>
      <c r="G8" s="15" t="b">
        <v>1</v>
      </c>
      <c r="H8" s="18">
        <v>46073</v>
      </c>
      <c r="I8" s="15" t="b">
        <v>1</v>
      </c>
      <c r="J8" s="43"/>
      <c r="K8" s="15" t="b">
        <v>0</v>
      </c>
      <c r="L8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8" s="24"/>
      <c r="N8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8" s="11"/>
    </row>
    <row r="9" spans="1:15">
      <c r="A9" s="9">
        <v>636</v>
      </c>
      <c r="B9" s="6" t="str">
        <f>PROPER("CARGA DE CARTA DE PENA CONVENCIONAL EN MODULO DE LINEA") &amp; " III"</f>
        <v>Carga De Carta De Pena Convencional En Modulo De Linea III</v>
      </c>
      <c r="C9" s="12" t="s">
        <v>28</v>
      </c>
      <c r="D9" s="12" t="s">
        <v>29</v>
      </c>
      <c r="E9" s="12" t="s">
        <v>27</v>
      </c>
      <c r="F9" s="15" t="b">
        <v>1</v>
      </c>
      <c r="G9" s="15" t="b">
        <v>1</v>
      </c>
      <c r="H9" s="18">
        <v>46065</v>
      </c>
      <c r="I9" s="15" t="b">
        <v>1</v>
      </c>
      <c r="J9" s="18">
        <v>46070</v>
      </c>
      <c r="K9" s="15" t="b">
        <v>0</v>
      </c>
      <c r="L9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9" s="43">
        <v>46084</v>
      </c>
      <c r="N9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9" s="11" t="s">
        <v>30</v>
      </c>
    </row>
    <row r="10" spans="1:15">
      <c r="A10" s="9">
        <v>643</v>
      </c>
      <c r="B10" s="6" t="str">
        <f>PROPER("Información adicional al reporte de ubicaciones")</f>
        <v>Información Adicional Al Reporte De Ubicaciones</v>
      </c>
      <c r="C10" s="12" t="s">
        <v>28</v>
      </c>
      <c r="D10" s="12" t="s">
        <v>29</v>
      </c>
      <c r="E10" s="12" t="s">
        <v>27</v>
      </c>
      <c r="F10" s="15" t="b">
        <v>1</v>
      </c>
      <c r="G10" s="15" t="b">
        <v>1</v>
      </c>
      <c r="H10" s="18">
        <v>46063</v>
      </c>
      <c r="I10" s="15" t="b">
        <v>1</v>
      </c>
      <c r="J10" s="18">
        <v>46063</v>
      </c>
      <c r="K10" s="15" t="b">
        <v>0</v>
      </c>
      <c r="L10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0" s="43">
        <v>46084</v>
      </c>
      <c r="N10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0" s="11" t="s">
        <v>30</v>
      </c>
    </row>
    <row r="11" spans="1:15">
      <c r="A11" s="9">
        <v>652</v>
      </c>
      <c r="B11" s="6" t="str">
        <f>PROPER("Tablero de información")</f>
        <v>Tablero De Información</v>
      </c>
      <c r="C11" s="12" t="s">
        <v>20</v>
      </c>
      <c r="D11" s="12" t="s">
        <v>31</v>
      </c>
      <c r="E11" s="12" t="s">
        <v>22</v>
      </c>
      <c r="F11" s="15" t="b">
        <v>1</v>
      </c>
      <c r="G11" s="15" t="b">
        <v>1</v>
      </c>
      <c r="H11" s="18">
        <v>46052</v>
      </c>
      <c r="I11" s="15" t="b">
        <v>1</v>
      </c>
      <c r="J11" s="18">
        <v>46064</v>
      </c>
      <c r="K11" s="15" t="b">
        <v>0</v>
      </c>
      <c r="L1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1" s="43">
        <v>46084</v>
      </c>
      <c r="N11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1" s="11" t="s">
        <v>23</v>
      </c>
    </row>
    <row r="12" spans="1:15">
      <c r="A12" s="9">
        <v>653</v>
      </c>
      <c r="B12" s="6" t="str">
        <f>PROPER("Nombre del prototipo comercial en el reporte de ubicación y clientes de ARANET v3")</f>
        <v>Nombre Del Prototipo Comercial En El Reporte De Ubicación Y Clientes De Aranet V3</v>
      </c>
      <c r="C12" s="12" t="s">
        <v>28</v>
      </c>
      <c r="D12" s="12" t="s">
        <v>29</v>
      </c>
      <c r="E12" s="12" t="s">
        <v>27</v>
      </c>
      <c r="F12" s="15" t="b">
        <v>1</v>
      </c>
      <c r="G12" s="15" t="b">
        <v>1</v>
      </c>
      <c r="H12" s="18">
        <v>46051</v>
      </c>
      <c r="I12" s="15" t="b">
        <v>1</v>
      </c>
      <c r="J12" s="18">
        <v>46064</v>
      </c>
      <c r="K12" s="15" t="b">
        <v>0</v>
      </c>
      <c r="L1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2" s="43">
        <v>46084</v>
      </c>
      <c r="N12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2" s="11" t="s">
        <v>30</v>
      </c>
    </row>
    <row r="13" spans="1:15">
      <c r="A13" s="9">
        <v>657</v>
      </c>
      <c r="B13" s="6" t="str">
        <f>PROPER("Fecha de cita en leads en el Grid")</f>
        <v>Fecha De Cita En Leads En El Grid</v>
      </c>
      <c r="C13" s="12" t="s">
        <v>20</v>
      </c>
      <c r="D13" s="12" t="s">
        <v>21</v>
      </c>
      <c r="E13" s="12" t="s">
        <v>22</v>
      </c>
      <c r="F13" s="15" t="b">
        <v>1</v>
      </c>
      <c r="G13" s="15" t="b">
        <v>1</v>
      </c>
      <c r="H13" s="18">
        <v>46063</v>
      </c>
      <c r="I13" s="15" t="b">
        <v>1</v>
      </c>
      <c r="J13" s="18">
        <v>46064</v>
      </c>
      <c r="K13" s="15" t="b">
        <v>0</v>
      </c>
      <c r="L13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3" s="43">
        <v>46084</v>
      </c>
      <c r="N13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3" s="11" t="s">
        <v>23</v>
      </c>
    </row>
    <row r="14" spans="1:15" hidden="1">
      <c r="A14" s="9">
        <v>661</v>
      </c>
      <c r="B14" s="6" t="str">
        <f>PROPER("Citas desde MARA")</f>
        <v>Citas Desde Mara</v>
      </c>
      <c r="C14" s="12" t="s">
        <v>20</v>
      </c>
      <c r="D14" s="12"/>
      <c r="E14" s="12" t="s">
        <v>27</v>
      </c>
      <c r="F14" s="15" t="b">
        <v>1</v>
      </c>
      <c r="G14" s="15" t="b">
        <v>1</v>
      </c>
      <c r="H14" s="18">
        <v>46045</v>
      </c>
      <c r="I14" s="15" t="b">
        <v>1</v>
      </c>
      <c r="J14" s="18">
        <v>46064</v>
      </c>
      <c r="K14" s="15" t="b">
        <v>1</v>
      </c>
      <c r="L14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COMPLETO</v>
      </c>
      <c r="M14" s="43">
        <v>46069</v>
      </c>
      <c r="N14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4" s="11"/>
    </row>
    <row r="15" spans="1:15">
      <c r="A15" s="9">
        <v>669</v>
      </c>
      <c r="B15" s="6" t="str">
        <f>PROPER("configuración Aranet y APP")&amp;"**"</f>
        <v>Configuración Aranet Y App**</v>
      </c>
      <c r="C15" s="12" t="s">
        <v>28</v>
      </c>
      <c r="D15" s="12" t="s">
        <v>29</v>
      </c>
      <c r="E15" s="12" t="s">
        <v>22</v>
      </c>
      <c r="F15" s="15" t="b">
        <v>1</v>
      </c>
      <c r="G15" s="15" t="b">
        <v>0</v>
      </c>
      <c r="H15" s="12"/>
      <c r="I15" s="15" t="b">
        <v>0</v>
      </c>
      <c r="J15" s="12"/>
      <c r="K15" s="15" t="b">
        <v>0</v>
      </c>
      <c r="L15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5" s="43"/>
      <c r="N15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5" s="11"/>
    </row>
    <row r="16" spans="1:15">
      <c r="A16" s="9">
        <v>670</v>
      </c>
      <c r="B16" s="6" t="str">
        <f>PROPER("Automatización generación de actas de recertificación de perfiles, usuarios y privilegios")</f>
        <v>Automatización Generación De Actas De Recertificación De Perfiles, Usuarios Y Privilegios</v>
      </c>
      <c r="C16" s="12" t="s">
        <v>28</v>
      </c>
      <c r="D16" s="12" t="s">
        <v>32</v>
      </c>
      <c r="E16" s="12" t="s">
        <v>27</v>
      </c>
      <c r="F16" s="15" t="b">
        <v>1</v>
      </c>
      <c r="G16" s="15" t="b">
        <v>1</v>
      </c>
      <c r="H16" s="18">
        <v>46064</v>
      </c>
      <c r="I16" s="15" t="b">
        <v>1</v>
      </c>
      <c r="J16" s="18">
        <v>46064</v>
      </c>
      <c r="K16" s="15" t="b">
        <v>0</v>
      </c>
      <c r="L1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6" s="43">
        <v>46084</v>
      </c>
      <c r="N16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6" s="11" t="s">
        <v>30</v>
      </c>
    </row>
    <row r="17" spans="1:15">
      <c r="A17" s="9">
        <v>672</v>
      </c>
      <c r="B17" s="6" t="str">
        <f>PROPER("CLASIFICACION DE ASESORES 2")</f>
        <v>Clasificacion De Asesores 2</v>
      </c>
      <c r="C17" s="12" t="s">
        <v>20</v>
      </c>
      <c r="D17" s="12" t="s">
        <v>21</v>
      </c>
      <c r="E17" s="12" t="s">
        <v>22</v>
      </c>
      <c r="F17" s="15" t="b">
        <v>1</v>
      </c>
      <c r="G17" s="15" t="b">
        <v>1</v>
      </c>
      <c r="H17" s="18">
        <v>46077</v>
      </c>
      <c r="I17" s="15" t="b">
        <v>1</v>
      </c>
      <c r="J17" s="18">
        <v>46084</v>
      </c>
      <c r="K17" s="15" t="b">
        <v>0</v>
      </c>
      <c r="L1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17" s="43"/>
      <c r="N17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7" s="11"/>
    </row>
    <row r="18" spans="1:15" hidden="1">
      <c r="A18" s="9">
        <v>673</v>
      </c>
      <c r="B18" s="8" t="str">
        <f>PROPER("Encuesta en LEAD y API")</f>
        <v>Encuesta En Lead Y Api</v>
      </c>
      <c r="C18" s="12" t="s">
        <v>20</v>
      </c>
      <c r="D18" s="12"/>
      <c r="E18" s="13" t="s">
        <v>27</v>
      </c>
      <c r="F18" s="15" t="b">
        <v>1</v>
      </c>
      <c r="G18" s="15" t="b">
        <v>1</v>
      </c>
      <c r="H18" s="18">
        <v>46048</v>
      </c>
      <c r="I18" s="15" t="b">
        <v>1</v>
      </c>
      <c r="J18" s="18">
        <v>46064</v>
      </c>
      <c r="K18" s="15" t="b">
        <v>1</v>
      </c>
      <c r="L18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COMPLETO</v>
      </c>
      <c r="M18" s="43">
        <v>46069</v>
      </c>
      <c r="N18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8" s="11"/>
    </row>
    <row r="19" spans="1:15">
      <c r="A19" s="9">
        <v>675</v>
      </c>
      <c r="B19" s="6" t="str">
        <f>PROPER("Reporte de comisiones")</f>
        <v>Reporte De Comisiones</v>
      </c>
      <c r="C19" s="12" t="s">
        <v>28</v>
      </c>
      <c r="D19" s="12" t="s">
        <v>33</v>
      </c>
      <c r="E19" s="12" t="s">
        <v>27</v>
      </c>
      <c r="F19" s="15" t="b">
        <v>1</v>
      </c>
      <c r="G19" s="15" t="b">
        <v>1</v>
      </c>
      <c r="H19" s="18">
        <v>37683</v>
      </c>
      <c r="I19" s="15" t="b">
        <v>0</v>
      </c>
      <c r="J19" s="12"/>
      <c r="K19" s="15" t="b">
        <v>0</v>
      </c>
      <c r="L1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N19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19" s="11"/>
    </row>
    <row r="20" spans="1:15">
      <c r="A20" s="9">
        <v>680</v>
      </c>
      <c r="B20" s="6" t="str">
        <f>PROPER("Creación de Modulo para la carga de promociones comerciales")</f>
        <v>Creación De Modulo Para La Carga De Promociones Comerciales</v>
      </c>
      <c r="C20" s="12" t="s">
        <v>20</v>
      </c>
      <c r="D20" s="12" t="s">
        <v>21</v>
      </c>
      <c r="E20" s="12" t="s">
        <v>22</v>
      </c>
      <c r="F20" s="15" t="b">
        <v>1</v>
      </c>
      <c r="G20" s="15" t="b">
        <v>1</v>
      </c>
      <c r="H20" s="18">
        <v>46077</v>
      </c>
      <c r="I20" s="15" t="b">
        <v>1</v>
      </c>
      <c r="J20" s="18">
        <v>46077</v>
      </c>
      <c r="K20" s="15" t="b">
        <v>0</v>
      </c>
      <c r="L20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20" s="43">
        <v>46084</v>
      </c>
      <c r="N20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20" s="11" t="s">
        <v>23</v>
      </c>
    </row>
    <row r="21" spans="1:15" hidden="1">
      <c r="A21" s="9">
        <v>682</v>
      </c>
      <c r="B21" s="6" t="str">
        <f>PROPER("Conversaciones de WhatsApp ")&amp;"IA"</f>
        <v>Conversaciones De Whatsapp IA</v>
      </c>
      <c r="C21" s="12" t="s">
        <v>20</v>
      </c>
      <c r="D21" s="12"/>
      <c r="E21" s="12" t="s">
        <v>27</v>
      </c>
      <c r="F21" s="15" t="b">
        <v>1</v>
      </c>
      <c r="G21" s="15" t="b">
        <v>1</v>
      </c>
      <c r="H21" s="18">
        <v>46064</v>
      </c>
      <c r="I21" s="15" t="b">
        <v>1</v>
      </c>
      <c r="J21" s="18">
        <v>46064</v>
      </c>
      <c r="K21" s="15" t="b">
        <v>1</v>
      </c>
      <c r="L2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COMPLETO</v>
      </c>
      <c r="M21" s="43">
        <v>46069</v>
      </c>
      <c r="N21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21" s="11"/>
    </row>
    <row r="22" spans="1:15">
      <c r="A22" s="9">
        <v>687</v>
      </c>
      <c r="B22" s="6" t="str">
        <f>PROPER("NUEVOS ENDPOINTS PARA API CRM")</f>
        <v>Nuevos Endpoints Para Api Crm</v>
      </c>
      <c r="C22" s="12" t="s">
        <v>20</v>
      </c>
      <c r="D22" s="12"/>
      <c r="E22" s="12" t="s">
        <v>27</v>
      </c>
      <c r="F22" s="15" t="b">
        <v>1</v>
      </c>
      <c r="G22" s="15" t="b">
        <v>1</v>
      </c>
      <c r="H22" s="18">
        <v>46076</v>
      </c>
      <c r="I22" s="15" t="b">
        <v>1</v>
      </c>
      <c r="J22" s="18">
        <v>46077</v>
      </c>
      <c r="K22" s="15" t="b">
        <v>0</v>
      </c>
      <c r="L2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22" s="43"/>
      <c r="N22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22" s="11"/>
    </row>
    <row r="23" spans="1:15" hidden="1">
      <c r="A23" s="9">
        <v>689</v>
      </c>
      <c r="B23" s="6" t="str">
        <f>PROPER("SERVICIO DE BUSQUEDA DE LEAD")</f>
        <v>Servicio De Busqueda De Lead</v>
      </c>
      <c r="C23" s="12" t="s">
        <v>20</v>
      </c>
      <c r="D23" s="12"/>
      <c r="E23" s="12" t="s">
        <v>27</v>
      </c>
      <c r="F23" s="15" t="b">
        <v>1</v>
      </c>
      <c r="G23" s="15" t="b">
        <v>1</v>
      </c>
      <c r="H23" s="18">
        <v>46066</v>
      </c>
      <c r="I23" s="15" t="b">
        <v>1</v>
      </c>
      <c r="J23" s="18">
        <v>46069</v>
      </c>
      <c r="K23" s="15" t="b">
        <v>1</v>
      </c>
      <c r="L2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COMPLETO</v>
      </c>
      <c r="M23" s="43">
        <v>46069</v>
      </c>
      <c r="N23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23" s="11"/>
    </row>
    <row r="24" spans="1:15" hidden="1">
      <c r="A24" s="9">
        <v>694</v>
      </c>
      <c r="B24" s="6" t="str">
        <f>PROPER("AJUSTE EN % DE EVELUACIÓN")</f>
        <v>Ajuste En % De Eveluación</v>
      </c>
      <c r="C24" s="12" t="s">
        <v>34</v>
      </c>
      <c r="D24" s="12" t="s">
        <v>35</v>
      </c>
      <c r="E24" s="12" t="s">
        <v>22</v>
      </c>
      <c r="F24" s="15" t="b">
        <v>1</v>
      </c>
      <c r="G24" s="15" t="b">
        <v>1</v>
      </c>
      <c r="H24" s="18">
        <v>46079</v>
      </c>
      <c r="I24" s="15" t="b">
        <v>1</v>
      </c>
      <c r="J24" s="18">
        <v>45715</v>
      </c>
      <c r="K24" s="15" t="b">
        <v>1</v>
      </c>
      <c r="L24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COMPLETO</v>
      </c>
      <c r="M24" s="43">
        <v>46084</v>
      </c>
      <c r="N24" s="57" t="str">
        <f>IF(Tabla2[[#This Row],[Sistema]]="","",IF(OR(Tabla2[[#This Row],[Sistema]]="CRM ARA",Tabla2[[#This Row],[Sistema]]="ENKONTROL",Tabla2[[#This Row],[Sistema]]="ARANET V3",Tabla2[[#This Row],[Sistema]]="ARAFE"),"SI","NO"))</f>
        <v>NO</v>
      </c>
      <c r="O24" s="11"/>
    </row>
    <row r="25" spans="1:15">
      <c r="A25" s="9">
        <v>695</v>
      </c>
      <c r="B25" s="6" t="str">
        <f>PROPER("Modificaciones en el módulo de Requerimientos")</f>
        <v>Modificaciones En El Módulo De Requerimientos</v>
      </c>
      <c r="C25" s="12" t="s">
        <v>28</v>
      </c>
      <c r="D25" s="12" t="s">
        <v>29</v>
      </c>
      <c r="E25" s="12" t="s">
        <v>27</v>
      </c>
      <c r="F25" s="15" t="b">
        <v>0</v>
      </c>
      <c r="G25" s="15" t="b">
        <v>0</v>
      </c>
      <c r="H25" s="12"/>
      <c r="I25" s="15" t="b">
        <v>0</v>
      </c>
      <c r="J25" s="12"/>
      <c r="K25" s="15" t="b">
        <v>0</v>
      </c>
      <c r="L25" s="24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25" s="43"/>
      <c r="N25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25" s="11"/>
    </row>
    <row r="26" spans="1:15">
      <c r="A26" s="9">
        <v>696</v>
      </c>
      <c r="B26" s="6" t="str">
        <f>PROPER("NUEVOS PERMISOS ESPECIALES ARAKIOSCO")</f>
        <v>Nuevos Permisos Especiales Arakiosco</v>
      </c>
      <c r="C26" s="12" t="s">
        <v>34</v>
      </c>
      <c r="D26" s="12" t="s">
        <v>35</v>
      </c>
      <c r="E26" s="12" t="s">
        <v>22</v>
      </c>
      <c r="F26" s="15" t="b">
        <v>1</v>
      </c>
      <c r="G26" s="15" t="b">
        <v>1</v>
      </c>
      <c r="H26" s="18">
        <v>46080</v>
      </c>
      <c r="I26" s="15" t="b">
        <v>0</v>
      </c>
      <c r="J26" s="12"/>
      <c r="K26" s="15" t="b">
        <v>0</v>
      </c>
      <c r="L2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26" s="24"/>
      <c r="N26" s="57" t="str">
        <f>IF(Tabla2[[#This Row],[Sistema]]="","",IF(OR(Tabla2[[#This Row],[Sistema]]="CRM ARA",Tabla2[[#This Row],[Sistema]]="ENKONTROL",Tabla2[[#This Row],[Sistema]]="ARANET V3",Tabla2[[#This Row],[Sistema]]="ARAFE"),"SI","NO"))</f>
        <v>NO</v>
      </c>
      <c r="O26" s="11"/>
    </row>
    <row r="27" spans="1:15" ht="30">
      <c r="A27" s="44">
        <v>619</v>
      </c>
      <c r="B27" s="11" t="str">
        <f>PROPER("Configuración para aplicación de bajas en ARANET V3 de Asesores internos, Líderes, Gerentes de Ventas, Analistas, Líderes y Gerentes de esc")</f>
        <v>Configuración Para Aplicación De Bajas En Aranet V3 De Asesores Internos, Líderes, Gerentes De Ventas, Analistas, Líderes Y Gerentes De Esc</v>
      </c>
      <c r="C27" s="12" t="s">
        <v>28</v>
      </c>
      <c r="D27" s="12" t="s">
        <v>33</v>
      </c>
      <c r="E27" s="12" t="s">
        <v>27</v>
      </c>
      <c r="F27" s="15" t="b">
        <v>1</v>
      </c>
      <c r="G27" s="15" t="b">
        <v>1</v>
      </c>
      <c r="H27" s="18">
        <v>46078</v>
      </c>
      <c r="I27" s="15" t="b">
        <v>1</v>
      </c>
      <c r="J27" s="18">
        <v>46078</v>
      </c>
      <c r="K27" s="15" t="b">
        <v>0</v>
      </c>
      <c r="L2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27" s="43">
        <v>46084</v>
      </c>
      <c r="N27" s="57" t="str">
        <f>IF(Tabla2[[#This Row],[Sistema]]="","",IF(OR(Tabla2[[#This Row],[Sistema]]="CRM ARA",Tabla2[[#This Row],[Sistema]]="ENKONTROL",Tabla2[[#This Row],[Sistema]]="ARANET V3",Tabla2[[#This Row],[Sistema]]="ARAFE"),"SI","NO"))</f>
        <v>SI</v>
      </c>
      <c r="O27" s="11" t="s">
        <v>30</v>
      </c>
    </row>
    <row r="28" spans="1:15" hidden="1">
      <c r="A28" s="9">
        <v>708</v>
      </c>
      <c r="B28" s="6" t="str">
        <f>PROPER("HC DE ARATECH")</f>
        <v>Hc De Aratech</v>
      </c>
      <c r="C28" s="12" t="s">
        <v>36</v>
      </c>
      <c r="D28" s="12" t="s">
        <v>37</v>
      </c>
      <c r="E28" s="12" t="s">
        <v>27</v>
      </c>
      <c r="F28" s="15" t="b">
        <v>1</v>
      </c>
      <c r="G28" s="15" t="b">
        <v>1</v>
      </c>
      <c r="H28" s="18">
        <v>46079</v>
      </c>
      <c r="I28" s="15" t="b">
        <v>1</v>
      </c>
      <c r="J28" s="18">
        <v>46083</v>
      </c>
      <c r="K28" s="15" t="b">
        <v>1</v>
      </c>
      <c r="L28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COMPLETO</v>
      </c>
      <c r="M28" s="43">
        <v>46084</v>
      </c>
      <c r="N28" s="57" t="str">
        <f>IF(Tabla2[[#This Row],[Sistema]]="","",IF(OR(Tabla2[[#This Row],[Sistema]]="CRM ARA",Tabla2[[#This Row],[Sistema]]="ENKONTROL",Tabla2[[#This Row],[Sistema]]="ARANET V3",Tabla2[[#This Row],[Sistema]]="ARAFE"),"SI","NO"))</f>
        <v>NO</v>
      </c>
      <c r="O28" s="11"/>
    </row>
    <row r="29" spans="1:15">
      <c r="A29" s="9">
        <v>678</v>
      </c>
      <c r="B29" s="6" t="str">
        <f>PROPER("Contrato Express Multifirma")</f>
        <v>Contrato Express Multifirma</v>
      </c>
      <c r="C29" s="12" t="s">
        <v>38</v>
      </c>
      <c r="D29" s="12" t="s">
        <v>37</v>
      </c>
      <c r="E29" s="12" t="s">
        <v>22</v>
      </c>
      <c r="F29" s="15" t="b">
        <v>1</v>
      </c>
      <c r="G29" s="15" t="b">
        <v>1</v>
      </c>
      <c r="H29" s="18"/>
      <c r="I29" s="15" t="b">
        <v>0</v>
      </c>
      <c r="J29" s="18"/>
      <c r="K29" s="15" t="b">
        <v>0</v>
      </c>
      <c r="L2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>INCOMPLETO</v>
      </c>
      <c r="M29" s="43"/>
      <c r="N29" s="57" t="str">
        <f>IF(Tabla2[[#This Row],[Sistema]]="","",IF(OR(Tabla2[[#This Row],[Sistema]]="CRM ARA",Tabla2[[#This Row],[Sistema]]="ENKONTROL",Tabla2[[#This Row],[Sistema]]="ARANET V3",Tabla2[[#This Row],[Sistema]]="ARAFE"),"SI","NO"))</f>
        <v>NO</v>
      </c>
      <c r="O29" s="11"/>
    </row>
    <row r="30" spans="1:15">
      <c r="A30" s="9"/>
      <c r="B30" s="6"/>
      <c r="C30" s="12"/>
      <c r="D30" s="12"/>
      <c r="E30" s="12"/>
      <c r="F30" s="15" t="b">
        <v>0</v>
      </c>
      <c r="G30" s="15" t="b">
        <v>0</v>
      </c>
      <c r="H30" s="18"/>
      <c r="I30" s="15" t="b">
        <v>0</v>
      </c>
      <c r="J30" s="18"/>
      <c r="K30" s="15" t="b">
        <v>0</v>
      </c>
      <c r="L30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0" s="43"/>
      <c r="N30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0" s="11"/>
    </row>
    <row r="31" spans="1:15">
      <c r="A31" s="9"/>
      <c r="B31" s="6"/>
      <c r="C31" s="12"/>
      <c r="D31" s="12"/>
      <c r="E31" s="12"/>
      <c r="F31" s="15" t="b">
        <v>0</v>
      </c>
      <c r="G31" s="15" t="b">
        <v>0</v>
      </c>
      <c r="H31" s="18"/>
      <c r="I31" s="15" t="b">
        <v>0</v>
      </c>
      <c r="J31" s="18"/>
      <c r="K31" s="15" t="b">
        <v>0</v>
      </c>
      <c r="L3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1" s="43"/>
      <c r="N31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1" s="11"/>
    </row>
    <row r="32" spans="1:15">
      <c r="A32" s="9"/>
      <c r="B32" s="6"/>
      <c r="C32" s="12"/>
      <c r="D32" s="12"/>
      <c r="E32" s="12"/>
      <c r="F32" s="15" t="b">
        <v>0</v>
      </c>
      <c r="G32" s="15" t="b">
        <v>0</v>
      </c>
      <c r="H32" s="18"/>
      <c r="I32" s="15" t="b">
        <v>0</v>
      </c>
      <c r="J32" s="18"/>
      <c r="K32" s="15" t="b">
        <v>0</v>
      </c>
      <c r="L3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2" s="43"/>
      <c r="N32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2" s="11"/>
    </row>
    <row r="33" spans="1:15">
      <c r="A33" s="9"/>
      <c r="B33" s="6"/>
      <c r="C33" s="12"/>
      <c r="D33" s="12"/>
      <c r="E33" s="12"/>
      <c r="F33" s="15" t="b">
        <v>0</v>
      </c>
      <c r="G33" s="15" t="b">
        <v>0</v>
      </c>
      <c r="H33" s="18"/>
      <c r="I33" s="15" t="b">
        <v>0</v>
      </c>
      <c r="J33" s="18"/>
      <c r="K33" s="15" t="b">
        <v>0</v>
      </c>
      <c r="L3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3" s="43"/>
      <c r="N33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3" s="11"/>
    </row>
    <row r="34" spans="1:15">
      <c r="A34" s="9"/>
      <c r="B34" s="6"/>
      <c r="C34" s="12"/>
      <c r="D34" s="12"/>
      <c r="E34" s="12"/>
      <c r="F34" s="15" t="b">
        <v>0</v>
      </c>
      <c r="G34" s="15" t="b">
        <v>0</v>
      </c>
      <c r="H34" s="18"/>
      <c r="I34" s="15" t="b">
        <v>0</v>
      </c>
      <c r="J34" s="18"/>
      <c r="K34" s="15" t="b">
        <v>0</v>
      </c>
      <c r="L34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4" s="43"/>
      <c r="N34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4" s="11"/>
    </row>
    <row r="35" spans="1:15">
      <c r="A35" s="9"/>
      <c r="B35" s="6"/>
      <c r="C35" s="12"/>
      <c r="D35" s="12"/>
      <c r="E35" s="12"/>
      <c r="F35" s="15" t="b">
        <v>0</v>
      </c>
      <c r="G35" s="15" t="b">
        <v>0</v>
      </c>
      <c r="H35" s="18"/>
      <c r="I35" s="15" t="b">
        <v>0</v>
      </c>
      <c r="J35" s="18"/>
      <c r="K35" s="15" t="b">
        <v>0</v>
      </c>
      <c r="L35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5" s="43"/>
      <c r="N35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5" s="11"/>
    </row>
    <row r="36" spans="1:15">
      <c r="A36" s="9"/>
      <c r="B36" s="6"/>
      <c r="C36" s="12"/>
      <c r="D36" s="12"/>
      <c r="E36" s="12"/>
      <c r="F36" s="15" t="b">
        <v>0</v>
      </c>
      <c r="G36" s="15" t="b">
        <v>0</v>
      </c>
      <c r="H36" s="18"/>
      <c r="I36" s="15" t="b">
        <v>0</v>
      </c>
      <c r="J36" s="18"/>
      <c r="K36" s="15" t="b">
        <v>0</v>
      </c>
      <c r="L3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6" s="43"/>
      <c r="N36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6" s="11"/>
    </row>
    <row r="37" spans="1:15">
      <c r="A37" s="9"/>
      <c r="B37" s="6"/>
      <c r="C37" s="12"/>
      <c r="D37" s="12"/>
      <c r="E37" s="12"/>
      <c r="F37" s="15" t="b">
        <v>0</v>
      </c>
      <c r="G37" s="15" t="b">
        <v>0</v>
      </c>
      <c r="H37" s="18"/>
      <c r="I37" s="15" t="b">
        <v>0</v>
      </c>
      <c r="J37" s="18"/>
      <c r="K37" s="15" t="b">
        <v>0</v>
      </c>
      <c r="L3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7" s="43"/>
      <c r="N37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7" s="11"/>
    </row>
    <row r="38" spans="1:15">
      <c r="A38" s="9"/>
      <c r="B38" s="6"/>
      <c r="C38" s="12"/>
      <c r="D38" s="12"/>
      <c r="E38" s="12"/>
      <c r="F38" s="15" t="b">
        <v>0</v>
      </c>
      <c r="G38" s="15" t="b">
        <v>0</v>
      </c>
      <c r="H38" s="18"/>
      <c r="I38" s="15" t="b">
        <v>0</v>
      </c>
      <c r="J38" s="18"/>
      <c r="K38" s="15" t="b">
        <v>0</v>
      </c>
      <c r="L38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8" s="43"/>
      <c r="N38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8" s="11"/>
    </row>
    <row r="39" spans="1:15">
      <c r="A39" s="9"/>
      <c r="B39" s="6"/>
      <c r="C39" s="12"/>
      <c r="D39" s="12"/>
      <c r="E39" s="12"/>
      <c r="F39" s="15" t="b">
        <v>0</v>
      </c>
      <c r="G39" s="15" t="b">
        <v>0</v>
      </c>
      <c r="H39" s="18"/>
      <c r="I39" s="15" t="b">
        <v>0</v>
      </c>
      <c r="J39" s="18"/>
      <c r="K39" s="15" t="b">
        <v>0</v>
      </c>
      <c r="L3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39" s="43"/>
      <c r="N39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39" s="11"/>
    </row>
    <row r="40" spans="1:15">
      <c r="A40" s="9"/>
      <c r="B40" s="6"/>
      <c r="C40" s="12"/>
      <c r="D40" s="12"/>
      <c r="E40" s="12"/>
      <c r="F40" s="15" t="b">
        <v>0</v>
      </c>
      <c r="G40" s="15" t="b">
        <v>0</v>
      </c>
      <c r="H40" s="18"/>
      <c r="I40" s="15" t="b">
        <v>0</v>
      </c>
      <c r="J40" s="18"/>
      <c r="K40" s="15" t="b">
        <v>0</v>
      </c>
      <c r="L40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0" s="43"/>
      <c r="N40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0" s="11"/>
    </row>
    <row r="41" spans="1:15">
      <c r="A41" s="9"/>
      <c r="B41" s="6"/>
      <c r="C41" s="12"/>
      <c r="D41" s="12"/>
      <c r="E41" s="12"/>
      <c r="F41" s="15" t="b">
        <v>0</v>
      </c>
      <c r="G41" s="15" t="b">
        <v>0</v>
      </c>
      <c r="H41" s="18"/>
      <c r="I41" s="15" t="b">
        <v>0</v>
      </c>
      <c r="J41" s="18"/>
      <c r="K41" s="15" t="b">
        <v>0</v>
      </c>
      <c r="L4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1" s="43"/>
      <c r="N41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1" s="11"/>
    </row>
    <row r="42" spans="1:15">
      <c r="A42" s="9"/>
      <c r="B42" s="6"/>
      <c r="C42" s="12"/>
      <c r="D42" s="12"/>
      <c r="E42" s="12"/>
      <c r="F42" s="15" t="b">
        <v>0</v>
      </c>
      <c r="G42" s="15" t="b">
        <v>0</v>
      </c>
      <c r="H42" s="18"/>
      <c r="I42" s="15" t="b">
        <v>0</v>
      </c>
      <c r="J42" s="18"/>
      <c r="K42" s="15" t="b">
        <v>0</v>
      </c>
      <c r="L4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2" s="43"/>
      <c r="N42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2" s="11"/>
    </row>
    <row r="43" spans="1:15">
      <c r="A43" s="9"/>
      <c r="B43" s="6"/>
      <c r="C43" s="12"/>
      <c r="D43" s="12"/>
      <c r="E43" s="12"/>
      <c r="F43" s="15" t="b">
        <v>0</v>
      </c>
      <c r="G43" s="15" t="b">
        <v>0</v>
      </c>
      <c r="H43" s="18"/>
      <c r="I43" s="15" t="b">
        <v>0</v>
      </c>
      <c r="J43" s="18"/>
      <c r="K43" s="15" t="b">
        <v>0</v>
      </c>
      <c r="L4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3" s="43"/>
      <c r="N43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3" s="11"/>
    </row>
    <row r="44" spans="1:15">
      <c r="A44" s="9"/>
      <c r="B44" s="6"/>
      <c r="C44" s="12"/>
      <c r="D44" s="12"/>
      <c r="E44" s="12"/>
      <c r="F44" s="15" t="b">
        <v>0</v>
      </c>
      <c r="G44" s="15" t="b">
        <v>0</v>
      </c>
      <c r="H44" s="18"/>
      <c r="I44" s="15" t="b">
        <v>0</v>
      </c>
      <c r="J44" s="18"/>
      <c r="K44" s="15" t="b">
        <v>0</v>
      </c>
      <c r="L44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4" s="43"/>
      <c r="N44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4" s="11"/>
    </row>
    <row r="45" spans="1:15">
      <c r="A45" s="9"/>
      <c r="B45" s="6"/>
      <c r="C45" s="12"/>
      <c r="D45" s="12"/>
      <c r="E45" s="12"/>
      <c r="F45" s="15" t="b">
        <v>0</v>
      </c>
      <c r="G45" s="15" t="b">
        <v>0</v>
      </c>
      <c r="H45" s="18"/>
      <c r="I45" s="15" t="b">
        <v>0</v>
      </c>
      <c r="J45" s="18"/>
      <c r="K45" s="15" t="b">
        <v>0</v>
      </c>
      <c r="L45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5" s="43"/>
      <c r="N45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5" s="11"/>
    </row>
    <row r="46" spans="1:15">
      <c r="A46" s="9"/>
      <c r="B46" s="6"/>
      <c r="C46" s="12"/>
      <c r="D46" s="12"/>
      <c r="E46" s="12"/>
      <c r="F46" s="15" t="b">
        <v>0</v>
      </c>
      <c r="G46" s="15" t="b">
        <v>0</v>
      </c>
      <c r="H46" s="18"/>
      <c r="I46" s="15" t="b">
        <v>0</v>
      </c>
      <c r="J46" s="18"/>
      <c r="K46" s="15" t="b">
        <v>0</v>
      </c>
      <c r="L4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6" s="43"/>
      <c r="N46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6" s="11"/>
    </row>
    <row r="47" spans="1:15">
      <c r="A47" s="9"/>
      <c r="B47" s="6"/>
      <c r="C47" s="12"/>
      <c r="D47" s="12"/>
      <c r="E47" s="12"/>
      <c r="F47" s="15" t="b">
        <v>0</v>
      </c>
      <c r="G47" s="15" t="b">
        <v>0</v>
      </c>
      <c r="H47" s="18"/>
      <c r="I47" s="15" t="b">
        <v>0</v>
      </c>
      <c r="J47" s="18"/>
      <c r="K47" s="15" t="b">
        <v>0</v>
      </c>
      <c r="L4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7" s="43"/>
      <c r="N47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7" s="11"/>
    </row>
    <row r="48" spans="1:15">
      <c r="A48" s="9"/>
      <c r="B48" s="6"/>
      <c r="C48" s="12"/>
      <c r="D48" s="12"/>
      <c r="E48" s="12"/>
      <c r="F48" s="15" t="b">
        <v>0</v>
      </c>
      <c r="G48" s="15" t="b">
        <v>0</v>
      </c>
      <c r="H48" s="18"/>
      <c r="I48" s="15" t="b">
        <v>0</v>
      </c>
      <c r="J48" s="18"/>
      <c r="K48" s="15" t="b">
        <v>0</v>
      </c>
      <c r="L48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8" s="43"/>
      <c r="N48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8" s="11"/>
    </row>
    <row r="49" spans="1:15">
      <c r="A49" s="9"/>
      <c r="B49" s="6"/>
      <c r="C49" s="12"/>
      <c r="D49" s="12"/>
      <c r="E49" s="12"/>
      <c r="F49" s="15" t="b">
        <v>0</v>
      </c>
      <c r="G49" s="15" t="b">
        <v>0</v>
      </c>
      <c r="H49" s="18"/>
      <c r="I49" s="15" t="b">
        <v>0</v>
      </c>
      <c r="J49" s="18"/>
      <c r="K49" s="15" t="b">
        <v>0</v>
      </c>
      <c r="L4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49" s="43"/>
      <c r="N49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49" s="11"/>
    </row>
    <row r="50" spans="1:15">
      <c r="A50" s="9"/>
      <c r="B50" s="6"/>
      <c r="C50" s="12"/>
      <c r="D50" s="12"/>
      <c r="E50" s="12"/>
      <c r="F50" s="15" t="b">
        <v>0</v>
      </c>
      <c r="G50" s="15" t="b">
        <v>0</v>
      </c>
      <c r="H50" s="18"/>
      <c r="I50" s="15" t="b">
        <v>0</v>
      </c>
      <c r="J50" s="18"/>
      <c r="K50" s="15" t="b">
        <v>0</v>
      </c>
      <c r="L50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0" s="43"/>
      <c r="N50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0" s="11"/>
    </row>
    <row r="51" spans="1:15">
      <c r="A51" s="9"/>
      <c r="B51" s="6"/>
      <c r="C51" s="12"/>
      <c r="D51" s="12"/>
      <c r="E51" s="12"/>
      <c r="F51" s="15" t="b">
        <v>0</v>
      </c>
      <c r="G51" s="15" t="b">
        <v>0</v>
      </c>
      <c r="H51" s="18"/>
      <c r="I51" s="15" t="b">
        <v>0</v>
      </c>
      <c r="J51" s="18"/>
      <c r="K51" s="15" t="b">
        <v>0</v>
      </c>
      <c r="L5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1" s="43"/>
      <c r="N51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1" s="11"/>
    </row>
    <row r="52" spans="1:15">
      <c r="A52" s="9"/>
      <c r="B52" s="6"/>
      <c r="C52" s="12"/>
      <c r="D52" s="12"/>
      <c r="E52" s="12"/>
      <c r="F52" s="15" t="b">
        <v>0</v>
      </c>
      <c r="G52" s="15" t="b">
        <v>0</v>
      </c>
      <c r="H52" s="18"/>
      <c r="I52" s="15" t="b">
        <v>0</v>
      </c>
      <c r="J52" s="18"/>
      <c r="K52" s="15" t="b">
        <v>0</v>
      </c>
      <c r="L5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2" s="43"/>
      <c r="N52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2" s="11"/>
    </row>
    <row r="53" spans="1:15">
      <c r="A53" s="9"/>
      <c r="B53" s="6"/>
      <c r="C53" s="12"/>
      <c r="D53" s="12"/>
      <c r="E53" s="12"/>
      <c r="F53" s="15" t="b">
        <v>0</v>
      </c>
      <c r="G53" s="15" t="b">
        <v>0</v>
      </c>
      <c r="H53" s="18"/>
      <c r="I53" s="15" t="b">
        <v>0</v>
      </c>
      <c r="J53" s="18"/>
      <c r="K53" s="15" t="b">
        <v>0</v>
      </c>
      <c r="L5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3" s="43"/>
      <c r="N53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3" s="11"/>
    </row>
    <row r="54" spans="1:15">
      <c r="A54" s="9"/>
      <c r="B54" s="6"/>
      <c r="C54" s="12"/>
      <c r="D54" s="12"/>
      <c r="E54" s="12"/>
      <c r="F54" s="15" t="b">
        <v>0</v>
      </c>
      <c r="G54" s="15" t="b">
        <v>0</v>
      </c>
      <c r="H54" s="18"/>
      <c r="I54" s="15" t="b">
        <v>0</v>
      </c>
      <c r="J54" s="18"/>
      <c r="K54" s="15" t="b">
        <v>0</v>
      </c>
      <c r="L54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4" s="43"/>
      <c r="N54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4" s="11"/>
    </row>
    <row r="55" spans="1:15">
      <c r="A55" s="9"/>
      <c r="B55" s="6"/>
      <c r="C55" s="12"/>
      <c r="D55" s="12"/>
      <c r="E55" s="12"/>
      <c r="F55" s="15" t="b">
        <v>0</v>
      </c>
      <c r="G55" s="15" t="b">
        <v>0</v>
      </c>
      <c r="H55" s="18"/>
      <c r="I55" s="15" t="b">
        <v>0</v>
      </c>
      <c r="J55" s="18"/>
      <c r="K55" s="15" t="b">
        <v>0</v>
      </c>
      <c r="L55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5" s="43"/>
      <c r="N55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5" s="11"/>
    </row>
    <row r="56" spans="1:15">
      <c r="A56" s="9"/>
      <c r="B56" s="6"/>
      <c r="C56" s="12"/>
      <c r="D56" s="12"/>
      <c r="E56" s="12"/>
      <c r="F56" s="15" t="b">
        <v>0</v>
      </c>
      <c r="G56" s="15" t="b">
        <v>0</v>
      </c>
      <c r="H56" s="18"/>
      <c r="I56" s="15" t="b">
        <v>0</v>
      </c>
      <c r="J56" s="18"/>
      <c r="K56" s="15" t="b">
        <v>0</v>
      </c>
      <c r="L5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6" s="43"/>
      <c r="N56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6" s="11"/>
    </row>
    <row r="57" spans="1:15">
      <c r="A57" s="9"/>
      <c r="B57" s="6"/>
      <c r="C57" s="12"/>
      <c r="D57" s="12"/>
      <c r="E57" s="12"/>
      <c r="F57" s="15" t="b">
        <v>0</v>
      </c>
      <c r="G57" s="15" t="b">
        <v>0</v>
      </c>
      <c r="H57" s="12"/>
      <c r="I57" s="15" t="b">
        <v>0</v>
      </c>
      <c r="J57" s="12"/>
      <c r="K57" s="15" t="b">
        <v>0</v>
      </c>
      <c r="L5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7" s="24"/>
      <c r="N57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7" s="11"/>
    </row>
    <row r="58" spans="1:15">
      <c r="A58" s="9"/>
      <c r="B58" s="6"/>
      <c r="C58" s="12"/>
      <c r="D58" s="12"/>
      <c r="E58" s="12"/>
      <c r="F58" s="15" t="b">
        <v>0</v>
      </c>
      <c r="G58" s="15" t="b">
        <v>0</v>
      </c>
      <c r="H58" s="12"/>
      <c r="I58" s="15" t="b">
        <v>0</v>
      </c>
      <c r="J58" s="12"/>
      <c r="K58" s="15" t="b">
        <v>0</v>
      </c>
      <c r="L58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8" s="24"/>
      <c r="N58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8" s="11"/>
    </row>
    <row r="59" spans="1:15">
      <c r="A59" s="9"/>
      <c r="B59" s="6"/>
      <c r="C59" s="12"/>
      <c r="D59" s="12"/>
      <c r="E59" s="12"/>
      <c r="F59" s="15" t="b">
        <v>0</v>
      </c>
      <c r="G59" s="15" t="b">
        <v>0</v>
      </c>
      <c r="H59" s="12"/>
      <c r="I59" s="15" t="b">
        <v>0</v>
      </c>
      <c r="J59" s="12"/>
      <c r="K59" s="15" t="b">
        <v>0</v>
      </c>
      <c r="L5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59" s="24"/>
      <c r="N59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59" s="11"/>
    </row>
    <row r="60" spans="1:15">
      <c r="A60" s="9"/>
      <c r="B60" s="6"/>
      <c r="C60" s="12"/>
      <c r="D60" s="12"/>
      <c r="E60" s="12"/>
      <c r="F60" s="15" t="b">
        <v>0</v>
      </c>
      <c r="G60" s="15" t="b">
        <v>0</v>
      </c>
      <c r="H60" s="12"/>
      <c r="I60" s="15" t="b">
        <v>0</v>
      </c>
      <c r="J60" s="12"/>
      <c r="K60" s="15" t="b">
        <v>0</v>
      </c>
      <c r="L60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0" s="24"/>
      <c r="N60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0" s="11"/>
    </row>
    <row r="61" spans="1:15">
      <c r="A61" s="9"/>
      <c r="B61" s="6"/>
      <c r="C61" s="12"/>
      <c r="D61" s="12"/>
      <c r="E61" s="12"/>
      <c r="F61" s="15" t="b">
        <v>0</v>
      </c>
      <c r="G61" s="15" t="b">
        <v>0</v>
      </c>
      <c r="H61" s="12"/>
      <c r="I61" s="15" t="b">
        <v>0</v>
      </c>
      <c r="J61" s="12"/>
      <c r="K61" s="15" t="b">
        <v>0</v>
      </c>
      <c r="L6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1" s="24"/>
      <c r="N61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1" s="11"/>
    </row>
    <row r="62" spans="1:15">
      <c r="A62" s="9"/>
      <c r="B62" s="6"/>
      <c r="C62" s="12"/>
      <c r="D62" s="12"/>
      <c r="E62" s="12"/>
      <c r="F62" s="15" t="b">
        <v>0</v>
      </c>
      <c r="G62" s="15" t="b">
        <v>0</v>
      </c>
      <c r="H62" s="12"/>
      <c r="I62" s="15" t="b">
        <v>0</v>
      </c>
      <c r="J62" s="12"/>
      <c r="K62" s="15" t="b">
        <v>0</v>
      </c>
      <c r="L6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2" s="24"/>
      <c r="N62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2" s="11"/>
    </row>
    <row r="63" spans="1:15">
      <c r="A63" s="9"/>
      <c r="B63" s="6"/>
      <c r="C63" s="12"/>
      <c r="D63" s="12"/>
      <c r="E63" s="12"/>
      <c r="F63" s="15" t="b">
        <v>0</v>
      </c>
      <c r="G63" s="15" t="b">
        <v>0</v>
      </c>
      <c r="H63" s="12"/>
      <c r="I63" s="15" t="b">
        <v>0</v>
      </c>
      <c r="J63" s="12"/>
      <c r="K63" s="15" t="b">
        <v>0</v>
      </c>
      <c r="L6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3" s="24"/>
      <c r="N63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3" s="11"/>
    </row>
    <row r="64" spans="1:15">
      <c r="A64" s="9"/>
      <c r="B64" s="6"/>
      <c r="C64" s="12"/>
      <c r="D64" s="12"/>
      <c r="E64" s="12"/>
      <c r="F64" s="15" t="b">
        <v>0</v>
      </c>
      <c r="G64" s="15" t="b">
        <v>0</v>
      </c>
      <c r="H64" s="12"/>
      <c r="I64" s="15" t="b">
        <v>0</v>
      </c>
      <c r="J64" s="12"/>
      <c r="K64" s="15" t="b">
        <v>0</v>
      </c>
      <c r="L64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4" s="24"/>
      <c r="N64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4" s="11"/>
    </row>
    <row r="65" spans="1:15">
      <c r="A65" s="9"/>
      <c r="B65" s="6"/>
      <c r="C65" s="12"/>
      <c r="D65" s="12"/>
      <c r="E65" s="12"/>
      <c r="F65" s="15" t="b">
        <v>0</v>
      </c>
      <c r="G65" s="15" t="b">
        <v>0</v>
      </c>
      <c r="H65" s="12"/>
      <c r="I65" s="15" t="b">
        <v>0</v>
      </c>
      <c r="J65" s="12"/>
      <c r="K65" s="15" t="b">
        <v>0</v>
      </c>
      <c r="L65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5" s="24"/>
      <c r="N65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5" s="11"/>
    </row>
    <row r="66" spans="1:15">
      <c r="A66" s="9"/>
      <c r="B66" s="6"/>
      <c r="C66" s="12"/>
      <c r="D66" s="12"/>
      <c r="E66" s="12"/>
      <c r="F66" s="15" t="b">
        <v>0</v>
      </c>
      <c r="G66" s="15" t="b">
        <v>0</v>
      </c>
      <c r="H66" s="12"/>
      <c r="I66" s="15" t="b">
        <v>0</v>
      </c>
      <c r="J66" s="12"/>
      <c r="K66" s="15" t="b">
        <v>0</v>
      </c>
      <c r="L6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6" s="24"/>
      <c r="N66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6" s="11"/>
    </row>
    <row r="67" spans="1:15">
      <c r="A67" s="9"/>
      <c r="B67" s="6"/>
      <c r="C67" s="12"/>
      <c r="D67" s="12"/>
      <c r="E67" s="12"/>
      <c r="F67" s="15" t="b">
        <v>0</v>
      </c>
      <c r="G67" s="15" t="b">
        <v>0</v>
      </c>
      <c r="H67" s="12"/>
      <c r="I67" s="15" t="b">
        <v>0</v>
      </c>
      <c r="J67" s="12"/>
      <c r="K67" s="15" t="b">
        <v>0</v>
      </c>
      <c r="L6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7" s="24"/>
      <c r="N67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7" s="11"/>
    </row>
    <row r="68" spans="1:15">
      <c r="A68" s="9"/>
      <c r="B68" s="6"/>
      <c r="C68" s="12"/>
      <c r="D68" s="12"/>
      <c r="E68" s="12"/>
      <c r="F68" s="15" t="b">
        <v>0</v>
      </c>
      <c r="G68" s="15" t="b">
        <v>0</v>
      </c>
      <c r="H68" s="12"/>
      <c r="I68" s="15" t="b">
        <v>0</v>
      </c>
      <c r="J68" s="12"/>
      <c r="K68" s="15" t="b">
        <v>0</v>
      </c>
      <c r="L68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8" s="24"/>
      <c r="N68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8" s="11"/>
    </row>
    <row r="69" spans="1:15">
      <c r="A69" s="9"/>
      <c r="B69" s="6"/>
      <c r="C69" s="12"/>
      <c r="D69" s="12"/>
      <c r="E69" s="12"/>
      <c r="F69" s="15" t="b">
        <v>0</v>
      </c>
      <c r="G69" s="15" t="b">
        <v>0</v>
      </c>
      <c r="H69" s="12"/>
      <c r="I69" s="15" t="b">
        <v>0</v>
      </c>
      <c r="J69" s="12"/>
      <c r="K69" s="15" t="b">
        <v>0</v>
      </c>
      <c r="L6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69" s="24"/>
      <c r="N69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69" s="11"/>
    </row>
    <row r="70" spans="1:15">
      <c r="A70" s="9"/>
      <c r="B70" s="6"/>
      <c r="C70" s="12"/>
      <c r="D70" s="12"/>
      <c r="E70" s="12"/>
      <c r="F70" s="15" t="b">
        <v>0</v>
      </c>
      <c r="G70" s="15" t="b">
        <v>0</v>
      </c>
      <c r="H70" s="12"/>
      <c r="I70" s="15" t="b">
        <v>0</v>
      </c>
      <c r="J70" s="12"/>
      <c r="K70" s="15" t="b">
        <v>0</v>
      </c>
      <c r="L70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0" s="24"/>
      <c r="N70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0" s="11"/>
    </row>
    <row r="71" spans="1:15">
      <c r="A71" s="9"/>
      <c r="B71" s="6"/>
      <c r="C71" s="12"/>
      <c r="D71" s="12"/>
      <c r="E71" s="12"/>
      <c r="F71" s="15" t="b">
        <v>0</v>
      </c>
      <c r="G71" s="15" t="b">
        <v>0</v>
      </c>
      <c r="H71" s="12"/>
      <c r="I71" s="15" t="b">
        <v>0</v>
      </c>
      <c r="J71" s="12"/>
      <c r="K71" s="15" t="b">
        <v>0</v>
      </c>
      <c r="L7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1" s="24"/>
      <c r="N71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1" s="11"/>
    </row>
    <row r="72" spans="1:15">
      <c r="A72" s="9"/>
      <c r="B72" s="6"/>
      <c r="C72" s="12"/>
      <c r="D72" s="12"/>
      <c r="E72" s="12"/>
      <c r="F72" s="15" t="b">
        <v>0</v>
      </c>
      <c r="G72" s="15" t="b">
        <v>0</v>
      </c>
      <c r="H72" s="12"/>
      <c r="I72" s="15" t="b">
        <v>0</v>
      </c>
      <c r="J72" s="12"/>
      <c r="K72" s="15" t="b">
        <v>0</v>
      </c>
      <c r="L7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2" s="24"/>
      <c r="N72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2" s="11"/>
    </row>
    <row r="73" spans="1:15">
      <c r="A73" s="9"/>
      <c r="B73" s="6"/>
      <c r="C73" s="12"/>
      <c r="D73" s="12"/>
      <c r="E73" s="12"/>
      <c r="F73" s="15" t="b">
        <v>0</v>
      </c>
      <c r="G73" s="15" t="b">
        <v>0</v>
      </c>
      <c r="H73" s="12"/>
      <c r="I73" s="15" t="b">
        <v>0</v>
      </c>
      <c r="J73" s="12"/>
      <c r="K73" s="15" t="b">
        <v>0</v>
      </c>
      <c r="L7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3" s="24"/>
      <c r="N73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3" s="11"/>
    </row>
    <row r="74" spans="1:15">
      <c r="A74" s="9"/>
      <c r="B74" s="6"/>
      <c r="C74" s="12"/>
      <c r="D74" s="12"/>
      <c r="E74" s="12"/>
      <c r="F74" s="15" t="b">
        <v>0</v>
      </c>
      <c r="G74" s="15" t="b">
        <v>0</v>
      </c>
      <c r="H74" s="12"/>
      <c r="I74" s="15" t="b">
        <v>0</v>
      </c>
      <c r="J74" s="12"/>
      <c r="K74" s="15" t="b">
        <v>0</v>
      </c>
      <c r="L74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4" s="24"/>
      <c r="N74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4" s="11"/>
    </row>
    <row r="75" spans="1:15">
      <c r="A75" s="9"/>
      <c r="B75" s="6"/>
      <c r="C75" s="12"/>
      <c r="D75" s="12"/>
      <c r="E75" s="12"/>
      <c r="F75" s="15" t="b">
        <v>0</v>
      </c>
      <c r="G75" s="15" t="b">
        <v>0</v>
      </c>
      <c r="H75" s="12"/>
      <c r="I75" s="15" t="b">
        <v>0</v>
      </c>
      <c r="J75" s="12"/>
      <c r="K75" s="15" t="b">
        <v>0</v>
      </c>
      <c r="L75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5" s="24"/>
      <c r="N75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5" s="11"/>
    </row>
    <row r="76" spans="1:15">
      <c r="A76" s="9"/>
      <c r="B76" s="6"/>
      <c r="C76" s="12"/>
      <c r="D76" s="12"/>
      <c r="E76" s="12"/>
      <c r="F76" s="15" t="b">
        <v>0</v>
      </c>
      <c r="G76" s="15" t="b">
        <v>0</v>
      </c>
      <c r="H76" s="12"/>
      <c r="I76" s="15" t="b">
        <v>0</v>
      </c>
      <c r="J76" s="12"/>
      <c r="K76" s="15" t="b">
        <v>0</v>
      </c>
      <c r="L76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6" s="24"/>
      <c r="N76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6" s="11"/>
    </row>
    <row r="77" spans="1:15">
      <c r="A77" s="9"/>
      <c r="B77" s="6"/>
      <c r="C77" s="12"/>
      <c r="D77" s="12"/>
      <c r="E77" s="12"/>
      <c r="F77" s="15" t="b">
        <v>0</v>
      </c>
      <c r="G77" s="15" t="b">
        <v>0</v>
      </c>
      <c r="H77" s="12"/>
      <c r="I77" s="15" t="b">
        <v>0</v>
      </c>
      <c r="J77" s="12"/>
      <c r="K77" s="15" t="b">
        <v>0</v>
      </c>
      <c r="L77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7" s="24"/>
      <c r="N77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7" s="11"/>
    </row>
    <row r="78" spans="1:15">
      <c r="A78" s="9"/>
      <c r="B78" s="6"/>
      <c r="C78" s="12"/>
      <c r="D78" s="12"/>
      <c r="E78" s="12"/>
      <c r="F78" s="15" t="b">
        <v>0</v>
      </c>
      <c r="G78" s="15" t="b">
        <v>0</v>
      </c>
      <c r="H78" s="12"/>
      <c r="I78" s="15" t="b">
        <v>0</v>
      </c>
      <c r="J78" s="12"/>
      <c r="K78" s="15" t="b">
        <v>0</v>
      </c>
      <c r="L78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8" s="24"/>
      <c r="N78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8" s="11"/>
    </row>
    <row r="79" spans="1:15">
      <c r="A79" s="9"/>
      <c r="B79" s="6"/>
      <c r="C79" s="12"/>
      <c r="D79" s="12"/>
      <c r="E79" s="12"/>
      <c r="F79" s="15" t="b">
        <v>0</v>
      </c>
      <c r="G79" s="15" t="b">
        <v>0</v>
      </c>
      <c r="H79" s="12"/>
      <c r="I79" s="15" t="b">
        <v>0</v>
      </c>
      <c r="J79" s="12"/>
      <c r="K79" s="15" t="b">
        <v>0</v>
      </c>
      <c r="L79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79" s="24"/>
      <c r="N79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79" s="11"/>
    </row>
    <row r="80" spans="1:15">
      <c r="A80" s="9"/>
      <c r="B80" s="6"/>
      <c r="C80" s="12"/>
      <c r="D80" s="12"/>
      <c r="E80" s="12"/>
      <c r="F80" s="15" t="b">
        <v>0</v>
      </c>
      <c r="G80" s="15" t="b">
        <v>0</v>
      </c>
      <c r="H80" s="12"/>
      <c r="I80" s="15" t="b">
        <v>0</v>
      </c>
      <c r="J80" s="12"/>
      <c r="K80" s="15" t="b">
        <v>0</v>
      </c>
      <c r="L80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80" s="24"/>
      <c r="N80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80" s="11"/>
    </row>
    <row r="81" spans="1:15">
      <c r="A81" s="9"/>
      <c r="B81" s="6"/>
      <c r="C81" s="12"/>
      <c r="D81" s="12"/>
      <c r="E81" s="12"/>
      <c r="F81" s="15" t="b">
        <v>0</v>
      </c>
      <c r="G81" s="15" t="b">
        <v>0</v>
      </c>
      <c r="H81" s="12"/>
      <c r="I81" s="15" t="b">
        <v>0</v>
      </c>
      <c r="J81" s="12"/>
      <c r="K81" s="15" t="b">
        <v>0</v>
      </c>
      <c r="L81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81" s="24"/>
      <c r="N81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81" s="11"/>
    </row>
    <row r="82" spans="1:15">
      <c r="A82" s="9"/>
      <c r="B82" s="6"/>
      <c r="C82" s="12"/>
      <c r="D82" s="12"/>
      <c r="E82" s="12"/>
      <c r="F82" s="15" t="b">
        <v>0</v>
      </c>
      <c r="G82" s="15" t="b">
        <v>0</v>
      </c>
      <c r="H82" s="12"/>
      <c r="I82" s="15" t="b">
        <v>0</v>
      </c>
      <c r="J82" s="12"/>
      <c r="K82" s="15" t="b">
        <v>0</v>
      </c>
      <c r="L82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82" s="24"/>
      <c r="N82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82" s="11"/>
    </row>
    <row r="83" spans="1:15">
      <c r="A83" s="9"/>
      <c r="B83" s="6"/>
      <c r="C83" s="12"/>
      <c r="D83" s="12"/>
      <c r="E83" s="12"/>
      <c r="F83" s="15" t="b">
        <v>0</v>
      </c>
      <c r="G83" s="15" t="b">
        <v>0</v>
      </c>
      <c r="H83" s="12"/>
      <c r="I83" s="15" t="b">
        <v>0</v>
      </c>
      <c r="J83" s="12"/>
      <c r="K83" s="15" t="b">
        <v>0</v>
      </c>
      <c r="L83" s="12" t="str">
        <f>IF(OR(ISBLANK(Tabla2[[#This Row],[Descripción]]),ISBLANK(Tabla2[[#This Row],[ID]])),"",IF(AND(Tabla2[[#This Row],[Liberado a QA]],Tabla2[[#This Row],[VoBo QA]],Tabla2[[#This Row],[VoBo Usuario]],Tabla2[[#This Row],[¿Liberado a producción?]]),"COMPLETO","INCOMPLETO"))</f>
        <v/>
      </c>
      <c r="M83" s="24"/>
      <c r="N83" s="57" t="str">
        <f>IF(Tabla2[[#This Row],[Sistema]]="","",IF(OR(Tabla2[[#This Row],[Sistema]]="CRM ARA",Tabla2[[#This Row],[Sistema]]="ENKONTROL",Tabla2[[#This Row],[Sistema]]="ARANET V3",Tabla2[[#This Row],[Sistema]]="ARAFE"),"SI","NO"))</f>
        <v/>
      </c>
      <c r="O83" s="11"/>
    </row>
  </sheetData>
  <mergeCells count="2">
    <mergeCell ref="H1:L1"/>
    <mergeCell ref="A5:O5"/>
  </mergeCells>
  <conditionalFormatting sqref="A7:N10046">
    <cfRule type="expression" dxfId="45" priority="1">
      <formula>$L7="INCOMPLETO"</formula>
    </cfRule>
    <cfRule type="expression" dxfId="44" priority="2">
      <formula>$L7="COMPLETO"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19416C-1ECC-48E6-B331-AE6C49F17452}">
          <x14:formula1>
            <xm:f>Hoja3!$A$2:$A$3</xm:f>
          </x14:formula1>
          <xm:sqref>E7:E83</xm:sqref>
        </x14:dataValidation>
        <x14:dataValidation type="list" allowBlank="1" showInputMessage="1" showErrorMessage="1" xr:uid="{F9EEF12D-DE28-494C-8E2E-ADEB3517C577}">
          <x14:formula1>
            <xm:f>Hoja3!$B$2:$B$13</xm:f>
          </x14:formula1>
          <xm:sqref>C7:C83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65637-CA8E-4289-9A61-C0A4191499B3}">
  <sheetPr codeName="Hoja2"/>
  <dimension ref="A1:Q99"/>
  <sheetViews>
    <sheetView topLeftCell="B1" zoomScale="70" zoomScaleNormal="70" workbookViewId="0">
      <selection activeCell="K4" sqref="K4"/>
    </sheetView>
  </sheetViews>
  <sheetFormatPr defaultColWidth="11.42578125" defaultRowHeight="15"/>
  <cols>
    <col min="1" max="1" width="11.42578125" customWidth="1"/>
    <col min="2" max="2" width="112.140625" customWidth="1"/>
    <col min="3" max="3" width="52.28515625" customWidth="1"/>
    <col min="4" max="4" width="17.140625" style="27" customWidth="1"/>
    <col min="5" max="5" width="13.7109375" bestFit="1" customWidth="1"/>
    <col min="6" max="6" width="13.28515625" bestFit="1" customWidth="1"/>
    <col min="7" max="7" width="26" customWidth="1"/>
    <col min="8" max="8" width="19.140625" bestFit="1" customWidth="1"/>
    <col min="9" max="9" width="18.28515625" customWidth="1"/>
    <col min="10" max="10" width="26.140625" style="27" customWidth="1"/>
    <col min="11" max="11" width="26" style="27" customWidth="1"/>
    <col min="12" max="17" width="11.42578125" style="27"/>
  </cols>
  <sheetData>
    <row r="1" spans="1:17" ht="26.25">
      <c r="A1" s="63" t="s">
        <v>39</v>
      </c>
      <c r="B1" s="64"/>
      <c r="C1" s="65"/>
      <c r="D1" s="35"/>
      <c r="E1" s="67" t="s">
        <v>40</v>
      </c>
      <c r="F1" s="68"/>
      <c r="G1" s="68"/>
      <c r="H1" s="68"/>
      <c r="I1" s="68"/>
      <c r="J1" s="68"/>
      <c r="K1" s="68"/>
    </row>
    <row r="2" spans="1:17" s="3" customFormat="1" ht="15.75" thickBot="1">
      <c r="A2" s="40" t="s">
        <v>41</v>
      </c>
      <c r="B2" s="41" t="s">
        <v>42</v>
      </c>
      <c r="C2" s="41" t="s">
        <v>43</v>
      </c>
      <c r="D2" s="36"/>
      <c r="E2" s="25" t="s">
        <v>44</v>
      </c>
      <c r="F2" s="2" t="s">
        <v>45</v>
      </c>
      <c r="G2" s="2" t="s">
        <v>46</v>
      </c>
      <c r="H2" s="2" t="s">
        <v>47</v>
      </c>
      <c r="I2" s="26" t="s">
        <v>48</v>
      </c>
      <c r="J2" s="2" t="s">
        <v>49</v>
      </c>
      <c r="K2" s="2" t="s">
        <v>50</v>
      </c>
      <c r="L2" s="29"/>
      <c r="M2" s="29"/>
      <c r="N2" s="29"/>
      <c r="O2" s="29"/>
      <c r="P2" s="29"/>
      <c r="Q2" s="29"/>
    </row>
    <row r="3" spans="1:17" s="1" customFormat="1" ht="255.75" thickBot="1">
      <c r="A3" s="37" t="s">
        <v>51</v>
      </c>
      <c r="B3" s="38" t="str">
        <f>CONCATENATE("Bueno día,Estimado",CHAR(10),CHAR(10),"Soy del equipo de QA de software. ¿Podrías apoyarnos con la ejecución de las pruebas de usuario del siguiente requerimiento que solicitaste y brindarnos tu VoBo? ",CHAR(10),CHAR(10),CHAR(10),"              • Solicitud: ",E3,CHAR(10),"              • Release: ",F3,CHAR(10),"              • Ambiente: ",G3,CHAR(10),"              • Requerimiento: ",H3,CHAR(10),CHAR(10),CHAR(10),"*Nota: Se solicita anexar una captura de pantalla del cambio realizado, en la cual se aprecien claramente la fecha y la hora de la prueba, así como el enlace correspondiente al ambiente de pruebas dentro de la misma imagen",CHAR(10),CHAR(10),"Quedo atento a cualquier comentario.",CHAR(10),"Saludos")</f>
        <v>Bueno día,Estimado
Soy del equipo de QA de software. ¿Podrías apoyarnos con la ejecución de las pruebas de usuario del siguiente requerimiento que solicitaste y brindarnos tu VoBo? 
              • Solicitud: Reingenieria De Cobranza Y Firma Digital De Contratos
              • Release: 558
              • Ambiente: https://crmqa.ara.com.mx/ 
              • Requerimiento: https://aranetv3.aranet.com.mx/Requerimiento/ImprimirFormato?Solicitud_Id=558&amp;VersionId=1
*Nota: Se solicita anexar una captura de pantalla del cambio realizado, en la cual se aprecien claramente la fecha y la hora de la prueba, así como el enlace correspondiente al ambiente de pruebas dentro de la misma imagen
Quedo atento a cualquier comentario.
Saludos</v>
      </c>
      <c r="C3" s="39" t="str">
        <f>CONCATENATE("VoBo Usuario — Solicitud pruebas de Usuario del Requerimiento ",F3)</f>
        <v>VoBo Usuario — Solicitud pruebas de Usuario del Requerimiento 558</v>
      </c>
      <c r="D3" s="34"/>
      <c r="E3" s="50" t="str" cm="1">
        <f t="array" ref="E3">_xlfn._xlws.FILTER(Tabla2[Descripción], Tabla2[ID] = Tabla4[Release])</f>
        <v>Reingenieria De Cobranza Y Firma Digital De Contratos</v>
      </c>
      <c r="F3" s="55">
        <v>558</v>
      </c>
      <c r="G3" s="51" t="str" cm="1">
        <f t="array" ref="G3">_xlfn._xlws.FILTER(Tabla3[Link],Tabla3[Sistema]=_xlfn.XLOOKUP(Tabla4[[#This Row],[Release]],Tabla2[ID],Tabla2[Sistema]),"Sin resultados")</f>
        <v xml:space="preserve">https://crmqa.ara.com.mx/ </v>
      </c>
      <c r="H3" s="52" t="str">
        <f>CONCATENATE("https://aranetv3.aranet.com.mx/Requerimiento/ImprimirFormato?Solicitud_Id=")&amp;(F3)&amp;("&amp;VersionId=1")</f>
        <v>https://aranetv3.aranet.com.mx/Requerimiento/ImprimirFormato?Solicitud_Id=558&amp;VersionId=1</v>
      </c>
      <c r="I3" s="56" t="s">
        <v>52</v>
      </c>
      <c r="J3" s="53" t="str" cm="1">
        <f t="array" ref="J3">_xlfn._xlws.FILTER(Tabla3[Destinatario],Tabla3[Sistema]=_xlfn.XLOOKUP(Tabla4[[#This Row],[Release]],Tabla2[ID],Tabla2[Sistema]),"Sin resultados")</f>
        <v>jmeza@ara.com.mx</v>
      </c>
      <c r="K3" s="54" t="str" cm="1">
        <f t="array" ref="K3">_xlfn._xlws.FILTER(Tabla3[CC],Tabla3[Sistema]=_xlfn.XLOOKUP(Tabla4[[#This Row],[Release]],Tabla2[ID],Tabla2[Sistema]),"Sin resultados")</f>
        <v>bcaudillo@ara.com.mx, ishernandez@ara.com.mx</v>
      </c>
      <c r="L3" s="30"/>
      <c r="M3" s="30"/>
      <c r="N3" s="30"/>
      <c r="O3" s="30"/>
      <c r="P3" s="30"/>
      <c r="Q3" s="30"/>
    </row>
    <row r="4" spans="1:17" ht="345.75" thickBot="1">
      <c r="A4" s="31" t="s">
        <v>53</v>
      </c>
      <c r="B4" s="32" t="str">
        <f>CONCATENATE(CHAR(34),"Estimados",CHAR(34),CHAR(10),CHAR(34),"Concluimos las pruebas de QA",CHAR(34),CHAR(10),CHAR(10),"              •Solicitud: ",E3,CHAR(10),"              •Release: ",F3,CHAR(10),"              •Ambiente: ",G3,CHAR(10),"              •Requerimiento: ",H3,CHAR(10),CHAR(10),"Resultados",CHAR(10),"Anexo evidencia de ejecución de pruebas",CHAR(10),CHAR(10),CHAR(10),CHAR(10),"Riesgos/Observaciones",CHAR(10),"Pruebas realizadas y completadas correctamente",CHAR(10),I3,CHAR(10),CHAR(10),CHAR(10),CHAR(10),"Decisión de QA",CHAR(10),"VoBo OTORGADO para PRUEBAS DE USUARIO",CHAR(10),CHAR(10),"Quedo atento a cualquier comentario.")</f>
        <v>"Estimados"
"Concluimos las pruebas de QA"
              •Solicitud: Reingenieria De Cobranza Y Firma Digital De Contratos
              •Release: 558
              •Ambiente: https://crmqa.ara.com.mx/ 
              •Requerimiento: https://aranetv3.aranet.com.mx/Requerimiento/ImprimirFormato?Solicitud_Id=558&amp;VersionId=1
Resultados
Anexo evidencia de ejecución de pruebas
Riesgos/Observaciones
Pruebas realizadas y completadas correctamente
No se identificaron bloqueos ni impedimentos (“stoppers”) en los flujos de prueba correspondientes.
Decisión de QA
VoBo OTORGADO para PRUEBAS DE USUARIO
Quedo atento a cualquier comentario.</v>
      </c>
      <c r="C4" s="33" t="str">
        <f>CONCATENATE("VoBo — Pruebas finalizadas del Requerimiento ",F3)</f>
        <v>VoBo — Pruebas finalizadas del Requerimiento 558</v>
      </c>
      <c r="D4" s="34"/>
      <c r="E4" s="27"/>
      <c r="F4" s="66"/>
      <c r="G4" s="66"/>
      <c r="H4" s="66"/>
      <c r="I4" s="66"/>
      <c r="J4" s="45"/>
    </row>
    <row r="5" spans="1:17" s="27" customFormat="1" ht="15" customHeight="1">
      <c r="B5" s="28"/>
      <c r="C5" s="28"/>
      <c r="D5" s="28"/>
    </row>
    <row r="6" spans="1:17" s="27" customFormat="1"/>
    <row r="7" spans="1:17" s="27" customFormat="1"/>
    <row r="8" spans="1:17" s="27" customFormat="1"/>
    <row r="9" spans="1:17" s="27" customFormat="1"/>
    <row r="10" spans="1:17" s="27" customFormat="1"/>
    <row r="11" spans="1:17" s="27" customFormat="1"/>
    <row r="12" spans="1:17" s="27" customFormat="1">
      <c r="B12" s="28"/>
      <c r="C12" s="28"/>
      <c r="D12" s="28"/>
    </row>
    <row r="13" spans="1:17" s="27" customFormat="1">
      <c r="B13" s="28"/>
    </row>
    <row r="14" spans="1:17" s="27" customFormat="1"/>
    <row r="15" spans="1:17" s="27" customFormat="1"/>
    <row r="16" spans="1:17" s="27" customFormat="1"/>
    <row r="17" s="27" customFormat="1"/>
    <row r="18" s="27" customFormat="1"/>
    <row r="19" s="27" customFormat="1"/>
    <row r="20" s="27" customFormat="1"/>
    <row r="21" s="27" customFormat="1"/>
    <row r="22" s="27" customFormat="1"/>
    <row r="23" s="27" customFormat="1"/>
    <row r="24" s="27" customFormat="1"/>
    <row r="25" s="27" customFormat="1"/>
    <row r="26" s="27" customFormat="1"/>
    <row r="27" s="27" customFormat="1"/>
    <row r="28" s="27" customFormat="1"/>
    <row r="29" s="27" customFormat="1" ht="15" customHeight="1"/>
    <row r="30" s="27" customFormat="1" ht="15" customHeight="1"/>
    <row r="31" s="27" customFormat="1"/>
    <row r="32" s="27" customFormat="1"/>
    <row r="33" s="27" customFormat="1"/>
    <row r="34" s="27" customFormat="1"/>
    <row r="35" s="27" customFormat="1"/>
    <row r="36" s="27" customFormat="1"/>
    <row r="37" s="27" customFormat="1"/>
    <row r="38" s="27" customFormat="1"/>
    <row r="39" s="27" customFormat="1"/>
    <row r="40" s="27" customFormat="1"/>
    <row r="41" s="27" customFormat="1"/>
    <row r="42" s="27" customFormat="1"/>
    <row r="43" s="27" customFormat="1"/>
    <row r="44" s="27" customFormat="1"/>
    <row r="45" s="27" customFormat="1"/>
    <row r="46" s="27" customFormat="1"/>
    <row r="47" s="27" customFormat="1"/>
    <row r="48" s="27" customFormat="1"/>
    <row r="49" s="27" customFormat="1"/>
    <row r="50" s="27" customFormat="1"/>
    <row r="51" s="27" customFormat="1"/>
    <row r="52" s="27" customFormat="1"/>
    <row r="53" s="27" customFormat="1"/>
    <row r="55" s="27" customFormat="1"/>
    <row r="56" s="27" customFormat="1"/>
    <row r="57" s="27" customFormat="1"/>
    <row r="58" s="27" customFormat="1"/>
    <row r="59" s="27" customFormat="1"/>
    <row r="60" s="27" customFormat="1"/>
    <row r="61" s="27" customFormat="1"/>
    <row r="62" s="27" customFormat="1"/>
    <row r="63" s="27" customFormat="1"/>
    <row r="64" s="27" customFormat="1"/>
    <row r="65" s="27" customFormat="1"/>
    <row r="66" s="27" customFormat="1"/>
    <row r="67" s="27" customFormat="1"/>
    <row r="68" s="27" customFormat="1"/>
    <row r="69" s="27" customFormat="1"/>
    <row r="70" s="27" customFormat="1"/>
    <row r="71" s="27" customFormat="1"/>
    <row r="72" s="27" customFormat="1"/>
    <row r="73" s="27" customFormat="1"/>
    <row r="74" s="27" customFormat="1"/>
    <row r="75" s="27" customFormat="1"/>
    <row r="76" s="27" customFormat="1"/>
    <row r="77" s="27" customFormat="1"/>
    <row r="78" s="27" customFormat="1"/>
    <row r="79" s="27" customFormat="1"/>
    <row r="80" s="27" customFormat="1"/>
    <row r="81" s="27" customFormat="1"/>
    <row r="82" s="27" customFormat="1"/>
    <row r="83" s="27" customFormat="1"/>
    <row r="84" s="27" customFormat="1"/>
    <row r="85" s="27" customFormat="1"/>
    <row r="86" s="27" customFormat="1"/>
    <row r="87" s="27" customFormat="1"/>
    <row r="88" s="27" customFormat="1"/>
    <row r="89" s="27" customFormat="1"/>
    <row r="90" s="27" customFormat="1"/>
    <row r="91" s="27" customFormat="1"/>
    <row r="92" s="27" customFormat="1"/>
    <row r="93" s="27" customFormat="1"/>
    <row r="94" s="27" customFormat="1"/>
    <row r="95" s="27" customFormat="1"/>
    <row r="96" s="27" customFormat="1"/>
    <row r="97" s="27" customFormat="1"/>
    <row r="98" s="27" customFormat="1"/>
    <row r="99" s="27" customFormat="1"/>
  </sheetData>
  <sheetProtection sheet="1" formatCells="0" formatColumns="0" formatRows="0" insertColumns="0" insertRows="0" insertHyperlinks="0" deleteColumns="0" deleteRows="0" sort="0" autoFilter="0" pivotTables="0"/>
  <mergeCells count="3">
    <mergeCell ref="A1:C1"/>
    <mergeCell ref="F4:I4"/>
    <mergeCell ref="E1:K1"/>
  </mergeCells>
  <dataValidations count="1">
    <dataValidation type="list" allowBlank="1" showInputMessage="1" showErrorMessage="1" sqref="F3" xr:uid="{CB03CF75-007C-4BCF-9989-1B60727C61C7}">
      <formula1>ListaIDs</formula1>
    </dataValidation>
  </dataValidations>
  <pageMargins left="0.7" right="0.7" top="0.75" bottom="0.75" header="0.3" footer="0.3"/>
  <pageSetup orientation="portrait" r:id="rId1"/>
  <ignoredErrors>
    <ignoredError sqref="B3:B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TN_CorreoVoboUsuario">
                <anchor moveWithCells="1" sizeWithCells="1">
                  <from>
                    <xdr:col>3</xdr:col>
                    <xdr:colOff>1038225</xdr:colOff>
                    <xdr:row>3</xdr:row>
                    <xdr:rowOff>2047875</xdr:rowOff>
                  </from>
                  <to>
                    <xdr:col>5</xdr:col>
                    <xdr:colOff>790575</xdr:colOff>
                    <xdr:row>3</xdr:row>
                    <xdr:rowOff>2647950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TN_CorreoVoboQA">
                <anchor moveWithCells="1" sizeWithCells="1">
                  <from>
                    <xdr:col>3</xdr:col>
                    <xdr:colOff>1047750</xdr:colOff>
                    <xdr:row>3</xdr:row>
                    <xdr:rowOff>1238250</xdr:rowOff>
                  </from>
                  <to>
                    <xdr:col>5</xdr:col>
                    <xdr:colOff>809625</xdr:colOff>
                    <xdr:row>3</xdr:row>
                    <xdr:rowOff>1838325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TN_GuardarAmbos">
                <anchor moveWithCells="1" sizeWithCells="1">
                  <from>
                    <xdr:col>3</xdr:col>
                    <xdr:colOff>1076325</xdr:colOff>
                    <xdr:row>3</xdr:row>
                    <xdr:rowOff>2867025</xdr:rowOff>
                  </from>
                  <to>
                    <xdr:col>5</xdr:col>
                    <xdr:colOff>771525</xdr:colOff>
                    <xdr:row>3</xdr:row>
                    <xdr:rowOff>3533775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3C23-54CB-475F-A0F1-0FFA2630ADA5}">
  <sheetPr codeName="Hoja3"/>
  <dimension ref="A1:F12"/>
  <sheetViews>
    <sheetView topLeftCell="D1" workbookViewId="0">
      <selection activeCell="F2" sqref="F2"/>
    </sheetView>
  </sheetViews>
  <sheetFormatPr defaultColWidth="11.42578125" defaultRowHeight="15"/>
  <cols>
    <col min="1" max="1" width="19.28515625" bestFit="1" customWidth="1"/>
    <col min="2" max="2" width="18.7109375" bestFit="1" customWidth="1"/>
    <col min="3" max="3" width="24.28515625" bestFit="1" customWidth="1"/>
    <col min="4" max="4" width="46.7109375" bestFit="1" customWidth="1"/>
    <col min="5" max="5" width="139" bestFit="1" customWidth="1"/>
  </cols>
  <sheetData>
    <row r="1" spans="1:6">
      <c r="A1" s="7" t="s">
        <v>54</v>
      </c>
      <c r="B1" s="7" t="s">
        <v>9</v>
      </c>
      <c r="C1" s="7" t="s">
        <v>49</v>
      </c>
      <c r="D1" s="7" t="s">
        <v>50</v>
      </c>
      <c r="E1" s="7" t="s">
        <v>55</v>
      </c>
      <c r="F1" s="7" t="s">
        <v>18</v>
      </c>
    </row>
    <row r="2" spans="1:6">
      <c r="A2" t="s">
        <v>22</v>
      </c>
      <c r="B2" t="s">
        <v>34</v>
      </c>
      <c r="C2" s="46" t="s">
        <v>56</v>
      </c>
      <c r="D2" s="46" t="s">
        <v>57</v>
      </c>
      <c r="E2" s="46" t="s">
        <v>58</v>
      </c>
      <c r="F2" t="s">
        <v>59</v>
      </c>
    </row>
    <row r="3" spans="1:6">
      <c r="A3" t="s">
        <v>27</v>
      </c>
      <c r="B3" t="s">
        <v>28</v>
      </c>
      <c r="C3" s="46" t="s">
        <v>60</v>
      </c>
      <c r="D3" s="46" t="s">
        <v>57</v>
      </c>
      <c r="E3" s="46" t="s">
        <v>61</v>
      </c>
      <c r="F3" t="s">
        <v>62</v>
      </c>
    </row>
    <row r="4" spans="1:6">
      <c r="B4" t="s">
        <v>25</v>
      </c>
      <c r="C4" s="46" t="s">
        <v>63</v>
      </c>
      <c r="D4" s="46" t="s">
        <v>57</v>
      </c>
      <c r="E4" t="s">
        <v>64</v>
      </c>
      <c r="F4" t="s">
        <v>65</v>
      </c>
    </row>
    <row r="5" spans="1:6">
      <c r="B5" t="s">
        <v>66</v>
      </c>
      <c r="C5" s="46" t="s">
        <v>67</v>
      </c>
      <c r="D5" s="46" t="s">
        <v>57</v>
      </c>
      <c r="E5" s="46" t="s">
        <v>68</v>
      </c>
    </row>
    <row r="6" spans="1:6">
      <c r="B6" t="s">
        <v>20</v>
      </c>
      <c r="C6" s="46" t="s">
        <v>56</v>
      </c>
      <c r="D6" s="46" t="s">
        <v>57</v>
      </c>
      <c r="E6" s="46" t="s">
        <v>69</v>
      </c>
    </row>
    <row r="7" spans="1:6">
      <c r="B7" t="s">
        <v>38</v>
      </c>
      <c r="C7" s="46" t="s">
        <v>70</v>
      </c>
      <c r="D7" s="46" t="s">
        <v>57</v>
      </c>
      <c r="E7" s="46" t="s">
        <v>71</v>
      </c>
    </row>
    <row r="8" spans="1:6">
      <c r="B8" t="s">
        <v>72</v>
      </c>
      <c r="C8" s="46" t="s">
        <v>73</v>
      </c>
      <c r="D8" s="46" t="s">
        <v>57</v>
      </c>
      <c r="E8" s="46" t="s">
        <v>74</v>
      </c>
    </row>
    <row r="9" spans="1:6">
      <c r="B9" t="s">
        <v>36</v>
      </c>
      <c r="C9" s="46" t="s">
        <v>56</v>
      </c>
      <c r="D9" s="46" t="s">
        <v>57</v>
      </c>
      <c r="E9" s="46" t="s">
        <v>75</v>
      </c>
    </row>
    <row r="10" spans="1:6">
      <c r="C10" s="46"/>
      <c r="D10" s="46"/>
      <c r="E10" s="46"/>
    </row>
    <row r="12" spans="1:6">
      <c r="A12" s="47"/>
    </row>
  </sheetData>
  <hyperlinks>
    <hyperlink ref="E9" r:id="rId1" xr:uid="{4BA03D18-308B-465B-BE2D-2A68BF406105}"/>
    <hyperlink ref="E7" r:id="rId2" xr:uid="{705125DE-41B3-4D28-839F-19667F213731}"/>
    <hyperlink ref="E8" r:id="rId3" xr:uid="{F25F9A64-7DF3-4AE1-8FFC-785FEE1EB45F}"/>
    <hyperlink ref="E5" r:id="rId4" xr:uid="{3ECD7884-0766-4DEF-8FC5-0C835FF5616E}"/>
    <hyperlink ref="E2" r:id="rId5" xr:uid="{3FB483CA-48AA-4AD4-B3B8-043A37AF1DA8}"/>
    <hyperlink ref="E3" r:id="rId6" xr:uid="{0022A51C-64D7-43AB-A453-D83CD041FC85}"/>
    <hyperlink ref="E6" r:id="rId7" xr:uid="{19251571-A3F1-401B-BF9F-1A9FB3C85E3F}"/>
    <hyperlink ref="C2" r:id="rId8" xr:uid="{7EB1FB79-3F97-47CE-B8A8-3C6B26E7B9B8}"/>
    <hyperlink ref="D2" r:id="rId9" display="bcaudillo@ara.com.mx, " xr:uid="{FF08CCB4-DFCF-4DBE-9859-27C752058BAD}"/>
    <hyperlink ref="D3:D9" r:id="rId10" display="bcaudillo@ara.com.mx, " xr:uid="{31BEAF58-5F2B-4D4B-B0BE-3CCBFFD0ED38}"/>
    <hyperlink ref="C6" r:id="rId11" xr:uid="{D8B46386-C531-4498-9ED6-8A7DF6DA0F18}"/>
    <hyperlink ref="C9" r:id="rId12" xr:uid="{41152AD9-4E80-4435-A920-D1F3589E47D5}"/>
    <hyperlink ref="C7" r:id="rId13" xr:uid="{661C350B-DB07-4531-B84E-6B3367A04C72}"/>
    <hyperlink ref="C3" r:id="rId14" xr:uid="{EA8E95DB-E6B8-44A0-AAD1-8DDAE1BA6D1B}"/>
    <hyperlink ref="C5" r:id="rId15" xr:uid="{0F0D727D-E190-4661-A9E9-6B601B27CE13}"/>
    <hyperlink ref="C4" r:id="rId16" xr:uid="{3A58F684-3A74-4259-9C72-53608DF4A8B8}"/>
    <hyperlink ref="C8" r:id="rId17" xr:uid="{AB8EF992-688C-47A3-ACD8-3344448F5E1E}"/>
  </hyperlinks>
  <pageMargins left="0.7" right="0.7" top="0.75" bottom="0.75" header="0.3" footer="0.3"/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Angel Soriano Vazquez</dc:creator>
  <cp:keywords/>
  <dc:description/>
  <cp:lastModifiedBy>Brandon Caudillo Galvan</cp:lastModifiedBy>
  <cp:revision/>
  <dcterms:created xsi:type="dcterms:W3CDTF">2026-02-11T17:49:57Z</dcterms:created>
  <dcterms:modified xsi:type="dcterms:W3CDTF">2026-03-03T22:07:46Z</dcterms:modified>
  <cp:category/>
  <cp:contentStatus/>
</cp:coreProperties>
</file>